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51600" windowHeight="1773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Arial"/>
      <color rgb="FF000000"/>
      <sz val="10"/>
    </font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sz val="11"/>
    </font>
    <font>
      <name val="Calibri"/>
      <family val="2"/>
      <b val="1"/>
      <color theme="1"/>
      <sz val="11"/>
      <scheme val="minor"/>
    </font>
    <font>
      <name val="Calibri"/>
      <charset val="134"/>
      <family val="3"/>
      <b val="1"/>
      <color theme="4" tint="-0.249977111117893"/>
      <sz val="11"/>
      <scheme val="minor"/>
    </font>
    <font>
      <name val="Calibri"/>
      <charset val="134"/>
      <family val="3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pivotButton="0" quotePrefix="0" xfId="0"/>
    <xf numFmtId="0" fontId="3" fillId="0" borderId="1" pivotButton="0" quotePrefix="0" xfId="1"/>
    <xf numFmtId="0" fontId="4" fillId="0" borderId="1" pivotButton="0" quotePrefix="0" xfId="1"/>
    <xf numFmtId="0" fontId="1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 wrapText="1"/>
    </xf>
    <xf numFmtId="0" fontId="7" fillId="0" borderId="1" pivotButton="0" quotePrefix="0" xfId="0"/>
    <xf numFmtId="0" fontId="0" fillId="4" borderId="1" pivotButton="0" quotePrefix="0" xfId="0"/>
    <xf numFmtId="2" fontId="7" fillId="0" borderId="1" pivotButton="0" quotePrefix="0" xfId="0"/>
    <xf numFmtId="164" fontId="7" fillId="0" borderId="1" pivotButton="0" quotePrefix="0" xfId="0"/>
    <xf numFmtId="9" fontId="0" fillId="0" borderId="0" pivotButton="0" quotePrefix="0" xfId="0"/>
    <xf numFmtId="2" fontId="0" fillId="0" borderId="0" pivotButton="0" quotePrefix="0" xfId="0"/>
    <xf numFmtId="0" fontId="6" fillId="3" borderId="2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X9" authorId="0" shapeId="0">
      <text>
        <t>PPT formula: Ct100 = -LOG2(E^(-Ct)) = Ct*LOG2(E).</t>
      </text>
    </comment>
    <comment ref="Y9" authorId="0" shapeId="0">
      <text>
        <t>Quantity recalculated from the mean 100-unit standard after Ct100 correction.</t>
      </text>
    </comment>
    <comment ref="O43" authorId="0" shapeId="0">
      <text>
        <t>PPT formula: Ct100 = -LOG2(E^(-Ct)) = Ct*LOG2(E).</t>
      </text>
    </comment>
    <comment ref="P43" authorId="0" shapeId="0">
      <text>
        <t>Quantity recalculated from the mean 100-unit standard after Ct100 correction.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L:\K7_Gondor\Chenying%20Gao\20241218%20HCT116%20WT%20different%20confluency%20R1%20R2%20R3%20PCR\20250509%20myc%20intron1%20and%202%20in%20total%20RNA\20250207%20myc%20EXON%20AND%20INTRON%20for%20total%20%20HCT116-chenying%20use%20both%20oligo%20DT%20and%20random%20primer%20for%20cDNA%20synthesis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centration"/>
      <sheetName val="PCR data"/>
      <sheetName val="GFP"/>
      <sheetName val="Analysis"/>
    </sheetNames>
    <sheetDataSet>
      <sheetData sheetId="0" refreshError="1"/>
      <sheetData sheetId="1" refreshError="1"/>
      <sheetData sheetId="2" refreshError="1"/>
      <sheetData sheetId="3">
        <row r="23">
          <cell r="N23" t="str">
            <v>R1</v>
          </cell>
          <cell r="O23" t="str">
            <v>R2</v>
          </cell>
          <cell r="P23" t="str">
            <v>R3</v>
          </cell>
        </row>
        <row r="24">
          <cell r="N24">
            <v>32.522427043146912</v>
          </cell>
          <cell r="O24">
            <v>40.81097587869192</v>
          </cell>
          <cell r="P24">
            <v>47.168706740450602</v>
          </cell>
        </row>
        <row r="25">
          <cell r="N25">
            <v>32.852410345838607</v>
          </cell>
          <cell r="O25">
            <v>43.382838696917183</v>
          </cell>
          <cell r="P25">
            <v>39.302434792544041</v>
          </cell>
        </row>
        <row r="26">
          <cell r="N26">
            <v>25.335280390275617</v>
          </cell>
          <cell r="O26">
            <v>21.292542235703237</v>
          </cell>
          <cell r="P26">
            <v>26.197661264070824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tabSelected="1" topLeftCell="B16" workbookViewId="0">
      <selection activeCell="AE63" sqref="AE63"/>
    </sheetView>
  </sheetViews>
  <sheetFormatPr baseColWidth="8" defaultRowHeight="15"/>
  <cols>
    <col width="14.7109375" customWidth="1" min="1" max="1"/>
    <col width="15" customWidth="1" min="2" max="2"/>
    <col width="16.42578125" customWidth="1" min="3" max="3"/>
    <col width="18" customWidth="1" min="4" max="4"/>
    <col width="29.85546875" customWidth="1" min="5" max="5"/>
    <col width="12.5703125" customWidth="1" min="13" max="13"/>
    <col width="18.140625" customWidth="1" min="14" max="14"/>
    <col width="20.42578125" customWidth="1" min="16" max="16"/>
    <col width="14.140625" customWidth="1" min="17" max="17"/>
    <col width="21.28515625" customWidth="1" min="22" max="22"/>
    <col width="2.85546875" customWidth="1" min="28" max="28"/>
    <col hidden="1" width="9.140625" customWidth="1" min="29" max="29"/>
    <col width="29.85546875" customWidth="1" min="30" max="30"/>
  </cols>
  <sheetData>
    <row r="1">
      <c r="A1" s="6" t="inlineStr">
        <is>
          <t>Standard curve (Target)</t>
        </is>
      </c>
      <c r="M1" s="1" t="inlineStr">
        <is>
          <t>Sample</t>
        </is>
      </c>
      <c r="N1" s="1" t="inlineStr">
        <is>
          <t>Target</t>
        </is>
      </c>
      <c r="O1" s="3" t="inlineStr">
        <is>
          <t>Well Position</t>
        </is>
      </c>
      <c r="P1" s="3" t="inlineStr">
        <is>
          <t>Original Cq​</t>
        </is>
      </c>
      <c r="Q1" s="3" t="inlineStr">
        <is>
          <t>Step 1: Ct(100%) = Original Cq × log2(1+Eff/100) = Original Cq × 0.96287771</t>
        </is>
      </c>
    </row>
    <row r="2">
      <c r="A2" s="1" t="inlineStr">
        <is>
          <t>Well</t>
        </is>
      </c>
      <c r="B2" s="1" t="inlineStr">
        <is>
          <t>Well Position</t>
        </is>
      </c>
      <c r="C2" s="1" t="inlineStr">
        <is>
          <t>Sample</t>
        </is>
      </c>
      <c r="D2" s="1" t="inlineStr">
        <is>
          <t>Target</t>
        </is>
      </c>
      <c r="E2" s="1" t="inlineStr">
        <is>
          <t>Cq</t>
        </is>
      </c>
      <c r="F2" s="1" t="inlineStr">
        <is>
          <t>Quantity</t>
        </is>
      </c>
      <c r="G2" s="1" t="inlineStr">
        <is>
          <t>Rep2</t>
        </is>
      </c>
      <c r="H2" s="1" t="inlineStr">
        <is>
          <t>Slope</t>
        </is>
      </c>
      <c r="I2" s="1" t="inlineStr">
        <is>
          <t>Efficiency</t>
        </is>
      </c>
      <c r="M2" s="2" t="inlineStr">
        <is>
          <t>10000</t>
        </is>
      </c>
      <c r="N2" s="2" t="inlineStr">
        <is>
          <t>target</t>
        </is>
      </c>
      <c r="O2" s="3" t="inlineStr">
        <is>
          <t>A1</t>
        </is>
      </c>
      <c r="P2" s="3" t="n">
        <v>23.44</v>
      </c>
      <c r="Q2" s="3" t="n">
        <v>22.57</v>
      </c>
    </row>
    <row r="3">
      <c r="A3" s="2" t="n">
        <v>1</v>
      </c>
      <c r="B3" s="2" t="inlineStr">
        <is>
          <t>A1</t>
        </is>
      </c>
      <c r="C3" s="2" t="inlineStr">
        <is>
          <t>10000</t>
        </is>
      </c>
      <c r="D3" s="2" t="inlineStr">
        <is>
          <t>target</t>
        </is>
      </c>
      <c r="E3" s="2" t="n">
        <v>23.4436</v>
      </c>
      <c r="F3" s="2" t="n">
        <v>100</v>
      </c>
      <c r="G3" s="2" t="n">
        <v>0.999754</v>
      </c>
      <c r="H3" s="2" t="n">
        <v>-3.45</v>
      </c>
      <c r="I3" s="2" t="n">
        <v>94.91940296028527</v>
      </c>
      <c r="M3" s="2" t="inlineStr">
        <is>
          <t>10000</t>
        </is>
      </c>
      <c r="N3" s="2" t="inlineStr">
        <is>
          <t>target</t>
        </is>
      </c>
      <c r="O3" s="3" t="inlineStr">
        <is>
          <t>A3</t>
        </is>
      </c>
      <c r="P3" s="3" t="n">
        <v>23.5</v>
      </c>
      <c r="Q3" s="3" t="n">
        <v>22.628</v>
      </c>
    </row>
    <row r="4">
      <c r="A4" s="2" t="n">
        <v>3</v>
      </c>
      <c r="B4" s="2" t="inlineStr">
        <is>
          <t>A3</t>
        </is>
      </c>
      <c r="C4" s="2" t="inlineStr">
        <is>
          <t>10000</t>
        </is>
      </c>
      <c r="D4" s="2" t="inlineStr">
        <is>
          <t>target</t>
        </is>
      </c>
      <c r="E4" s="2" t="n">
        <v>23.4955</v>
      </c>
      <c r="F4" s="2" t="n">
        <v>100</v>
      </c>
      <c r="G4" s="2" t="n">
        <v>0.999754</v>
      </c>
      <c r="H4" s="2" t="n">
        <v>-3.45</v>
      </c>
      <c r="I4" s="2" t="n">
        <v>94.91940296028527</v>
      </c>
      <c r="M4" s="2" t="inlineStr">
        <is>
          <t>1.0e+3</t>
        </is>
      </c>
      <c r="N4" s="2" t="inlineStr">
        <is>
          <t>target</t>
        </is>
      </c>
      <c r="O4" s="3" t="inlineStr">
        <is>
          <t>A4</t>
        </is>
      </c>
      <c r="P4" s="3" t="n">
        <v>26.88</v>
      </c>
      <c r="Q4" s="3" t="n">
        <v>25.882</v>
      </c>
    </row>
    <row r="5">
      <c r="A5" s="2" t="n">
        <v>4</v>
      </c>
      <c r="B5" s="2" t="inlineStr">
        <is>
          <t>A4</t>
        </is>
      </c>
      <c r="C5" s="2" t="inlineStr">
        <is>
          <t>1.0e+3</t>
        </is>
      </c>
      <c r="D5" s="2" t="inlineStr">
        <is>
          <t>target</t>
        </is>
      </c>
      <c r="E5" s="2" t="n">
        <v>26.8821</v>
      </c>
      <c r="F5" s="2" t="n">
        <v>10</v>
      </c>
      <c r="G5" s="2" t="n">
        <v>0.999754</v>
      </c>
      <c r="H5" s="2" t="n">
        <v>-3.45</v>
      </c>
      <c r="I5" s="2" t="n">
        <v>94.91940296028527</v>
      </c>
      <c r="M5" s="2" t="inlineStr">
        <is>
          <t>1.0e+3</t>
        </is>
      </c>
      <c r="N5" s="2" t="inlineStr">
        <is>
          <t>target</t>
        </is>
      </c>
      <c r="O5" s="3" t="inlineStr">
        <is>
          <t>A5</t>
        </is>
      </c>
      <c r="P5" s="3" t="n">
        <v>26.95</v>
      </c>
      <c r="Q5" s="3" t="n">
        <v>25.95</v>
      </c>
    </row>
    <row r="6">
      <c r="A6" s="2" t="n">
        <v>5</v>
      </c>
      <c r="B6" s="2" t="inlineStr">
        <is>
          <t>A5</t>
        </is>
      </c>
      <c r="C6" s="2" t="inlineStr">
        <is>
          <t>1.0e+3</t>
        </is>
      </c>
      <c r="D6" s="2" t="inlineStr">
        <is>
          <t>target</t>
        </is>
      </c>
      <c r="E6" s="2" t="n">
        <v>26.9472</v>
      </c>
      <c r="F6" s="2" t="n">
        <v>10</v>
      </c>
      <c r="G6" s="2" t="n">
        <v>0.999754</v>
      </c>
      <c r="H6" s="2" t="n">
        <v>-3.45</v>
      </c>
      <c r="I6" s="2" t="n">
        <v>94.91940296028527</v>
      </c>
      <c r="M6" s="2" t="inlineStr">
        <is>
          <t>1.0e+2</t>
        </is>
      </c>
      <c r="N6" s="2" t="inlineStr">
        <is>
          <t>target</t>
        </is>
      </c>
      <c r="O6" s="3" t="inlineStr">
        <is>
          <t>A7</t>
        </is>
      </c>
      <c r="P6" s="3" t="n">
        <v>30.46</v>
      </c>
      <c r="Q6" s="3" t="n">
        <v>29.329</v>
      </c>
    </row>
    <row r="7">
      <c r="A7" s="2" t="n">
        <v>7</v>
      </c>
      <c r="B7" s="2" t="inlineStr">
        <is>
          <t>A7</t>
        </is>
      </c>
      <c r="C7" s="2" t="inlineStr">
        <is>
          <t>1.0e+2</t>
        </is>
      </c>
      <c r="D7" s="2" t="inlineStr">
        <is>
          <t>target</t>
        </is>
      </c>
      <c r="E7" s="2" t="n">
        <v>30.4615</v>
      </c>
      <c r="F7" s="2" t="n">
        <v>1</v>
      </c>
      <c r="G7" s="2" t="n">
        <v>0.999754</v>
      </c>
      <c r="H7" s="2" t="n">
        <v>-3.45</v>
      </c>
      <c r="I7" s="2" t="n">
        <v>94.91940296028527</v>
      </c>
      <c r="M7" s="2" t="inlineStr">
        <is>
          <t>1.0e+2</t>
        </is>
      </c>
      <c r="N7" s="2" t="inlineStr">
        <is>
          <t>target</t>
        </is>
      </c>
      <c r="O7" s="3" t="inlineStr">
        <is>
          <t>A9</t>
        </is>
      </c>
      <c r="P7" s="3" t="n">
        <v>30.42</v>
      </c>
      <c r="Q7" s="3" t="n">
        <v>29.291</v>
      </c>
    </row>
    <row r="8">
      <c r="A8" s="2" t="n">
        <v>9</v>
      </c>
      <c r="B8" s="2" t="inlineStr">
        <is>
          <t>A9</t>
        </is>
      </c>
      <c r="C8" s="2" t="inlineStr">
        <is>
          <t>1.0e+2</t>
        </is>
      </c>
      <c r="D8" s="2" t="inlineStr">
        <is>
          <t>target</t>
        </is>
      </c>
      <c r="E8" s="2" t="n">
        <v>30.4184</v>
      </c>
      <c r="F8" s="2" t="n">
        <v>1</v>
      </c>
      <c r="G8" s="2" t="n">
        <v>0.999754</v>
      </c>
      <c r="H8" s="2" t="n">
        <v>-3.45</v>
      </c>
      <c r="I8" s="2" t="n">
        <v>94.91940296028527</v>
      </c>
      <c r="M8" s="2" t="inlineStr">
        <is>
          <t>10</t>
        </is>
      </c>
      <c r="N8" s="2" t="inlineStr">
        <is>
          <t>target</t>
        </is>
      </c>
      <c r="O8" s="3" t="inlineStr">
        <is>
          <t>A11</t>
        </is>
      </c>
      <c r="P8" s="3" t="inlineStr">
        <is>
          <t>UNDETERMINED</t>
        </is>
      </c>
      <c r="Q8" s="3" t="inlineStr">
        <is>
          <t>UNDETERMINED</t>
        </is>
      </c>
    </row>
    <row r="9">
      <c r="A9" s="2" t="n">
        <v>11</v>
      </c>
      <c r="B9" s="2" t="inlineStr">
        <is>
          <t>A11</t>
        </is>
      </c>
      <c r="C9" s="2" t="inlineStr">
        <is>
          <t>10</t>
        </is>
      </c>
      <c r="D9" s="2" t="inlineStr">
        <is>
          <t>target</t>
        </is>
      </c>
      <c r="E9" s="2" t="inlineStr">
        <is>
          <t>UNDETERMINED</t>
        </is>
      </c>
      <c r="F9" s="2" t="n">
        <v>0.1</v>
      </c>
      <c r="G9" s="2" t="n">
        <v>0.999754</v>
      </c>
      <c r="H9" s="2" t="n">
        <v>-3.45</v>
      </c>
      <c r="I9" s="2" t="n">
        <v>94.91940296028527</v>
      </c>
      <c r="M9" s="2" t="inlineStr">
        <is>
          <t>10</t>
        </is>
      </c>
      <c r="N9" s="2" t="inlineStr">
        <is>
          <t>target</t>
        </is>
      </c>
      <c r="O9" s="3" t="inlineStr">
        <is>
          <t>A12</t>
        </is>
      </c>
      <c r="P9" s="3" t="inlineStr">
        <is>
          <t>UNDETERMINED</t>
        </is>
      </c>
      <c r="Q9" s="3" t="inlineStr">
        <is>
          <t>UNDETERMINED</t>
        </is>
      </c>
      <c r="V9" s="9" t="inlineStr">
        <is>
          <t>Sample</t>
        </is>
      </c>
      <c r="W9" s="10" t="inlineStr">
        <is>
          <t>Ct</t>
        </is>
      </c>
      <c r="X9" s="10" t="inlineStr">
        <is>
          <t>Ct(100%)</t>
        </is>
      </c>
      <c r="Y9" s="10" t="inlineStr">
        <is>
          <t>Quantity</t>
        </is>
      </c>
      <c r="Z9" s="8" t="n"/>
      <c r="AA9" s="8" t="n"/>
    </row>
    <row r="10">
      <c r="A10" s="2" t="n">
        <v>12</v>
      </c>
      <c r="B10" s="2" t="inlineStr">
        <is>
          <t>A12</t>
        </is>
      </c>
      <c r="C10" s="2" t="inlineStr">
        <is>
          <t>10</t>
        </is>
      </c>
      <c r="D10" s="2" t="inlineStr">
        <is>
          <t>target</t>
        </is>
      </c>
      <c r="E10" s="2" t="inlineStr">
        <is>
          <t>UNDETERMINED</t>
        </is>
      </c>
      <c r="F10" s="2" t="n">
        <v>0.1</v>
      </c>
      <c r="G10" s="2" t="n">
        <v>0.999754</v>
      </c>
      <c r="H10" s="2" t="n">
        <v>-3.45</v>
      </c>
      <c r="I10" s="2" t="n">
        <v>94.91940296028527</v>
      </c>
      <c r="M10" s="2" t="inlineStr">
        <is>
          <t>Grp A Rep1</t>
        </is>
      </c>
      <c r="N10" s="2" t="inlineStr">
        <is>
          <t>target</t>
        </is>
      </c>
      <c r="O10" s="3" t="inlineStr">
        <is>
          <t>B13</t>
        </is>
      </c>
      <c r="P10" s="3" t="n">
        <v>25.02</v>
      </c>
      <c r="Q10" s="3" t="n">
        <v>24.091</v>
      </c>
      <c r="V10" s="11" t="inlineStr">
        <is>
          <t>Grp A Rep1</t>
        </is>
      </c>
      <c r="W10" s="12" t="n">
        <v>25.023</v>
      </c>
      <c r="X10" s="26">
        <f>W10*LOG(1+$I$3/100,2)</f>
        <v/>
      </c>
      <c r="Y10" s="27">
        <f>AVERAGE($F$3:$F$4)*2^((AVERAGE($E$3:$E$4)*LOG(1+$I$3/100,2))-X10)</f>
        <v/>
      </c>
      <c r="Z10" s="7" t="n"/>
      <c r="AA10" s="7" t="n"/>
    </row>
    <row r="11">
      <c r="A11" s="2" t="n">
        <v>14</v>
      </c>
      <c r="B11" s="2" t="inlineStr">
        <is>
          <t>B2</t>
        </is>
      </c>
      <c r="C11" s="2" t="inlineStr">
        <is>
          <t>Grp A Rep1</t>
        </is>
      </c>
      <c r="D11" s="2" t="inlineStr">
        <is>
          <t>target</t>
        </is>
      </c>
      <c r="E11" s="2" t="n">
        <v>25.023</v>
      </c>
      <c r="F11" s="2" t="n">
        <v>35.459</v>
      </c>
      <c r="G11" s="2" t="n">
        <v>0.999754</v>
      </c>
      <c r="H11" s="2" t="n">
        <v>-3.45</v>
      </c>
      <c r="I11" s="2" t="n">
        <v>94.91940296028527</v>
      </c>
      <c r="M11" s="2" t="inlineStr">
        <is>
          <t>Grp A Rep1</t>
        </is>
      </c>
      <c r="N11" s="2" t="inlineStr">
        <is>
          <t>target</t>
        </is>
      </c>
      <c r="O11" s="3" t="inlineStr">
        <is>
          <t>B15</t>
        </is>
      </c>
      <c r="P11" s="3" t="n">
        <v>25.04</v>
      </c>
      <c r="Q11" s="3" t="n">
        <v>24.11</v>
      </c>
      <c r="V11" s="11" t="inlineStr">
        <is>
          <t>Grp A Rep1</t>
        </is>
      </c>
      <c r="W11" s="12" t="n">
        <v>25.0407</v>
      </c>
      <c r="X11" s="26">
        <f>W11*LOG(1+$I$3/100,2)</f>
        <v/>
      </c>
      <c r="Y11" s="27">
        <f>AVERAGE($F$3:$F$4)*2^((AVERAGE($E$3:$E$4)*LOG(1+$I$3/100,2))-X11)</f>
        <v/>
      </c>
      <c r="Z11" s="7" t="n"/>
      <c r="AA11" s="7" t="n"/>
    </row>
    <row r="12">
      <c r="A12" s="2" t="n">
        <v>15</v>
      </c>
      <c r="B12" s="2" t="inlineStr">
        <is>
          <t>B3</t>
        </is>
      </c>
      <c r="C12" s="2" t="inlineStr">
        <is>
          <t>Grp A Rep1</t>
        </is>
      </c>
      <c r="D12" s="2" t="inlineStr">
        <is>
          <t>target</t>
        </is>
      </c>
      <c r="E12" s="2" t="n">
        <v>25.0407</v>
      </c>
      <c r="F12" s="2" t="n">
        <v>35.042</v>
      </c>
      <c r="G12" s="2" t="n">
        <v>0.999754</v>
      </c>
      <c r="H12" s="2" t="n">
        <v>-3.45</v>
      </c>
      <c r="I12" s="2" t="n">
        <v>94.91940296028527</v>
      </c>
      <c r="M12" s="2" t="inlineStr">
        <is>
          <t>Grp B Rep1</t>
        </is>
      </c>
      <c r="N12" s="2" t="inlineStr">
        <is>
          <t>target</t>
        </is>
      </c>
      <c r="O12" s="3" t="inlineStr">
        <is>
          <t>B17</t>
        </is>
      </c>
      <c r="P12" s="3" t="n">
        <v>23.67</v>
      </c>
      <c r="Q12" s="3" t="n">
        <v>22.791</v>
      </c>
      <c r="V12" s="11" t="inlineStr">
        <is>
          <t>Grp B Rep1</t>
        </is>
      </c>
      <c r="W12" s="12" t="n">
        <v>23.6704</v>
      </c>
      <c r="X12" s="26">
        <f>W12*LOG(1+$I$3/100,2)</f>
        <v/>
      </c>
      <c r="Y12" s="27">
        <f>AVERAGE($F$3:$F$4)*2^((AVERAGE($E$3:$E$4)*LOG(1+$I$3/100,2))-X12)</f>
        <v/>
      </c>
      <c r="Z12" s="7" t="n"/>
      <c r="AA12" s="7" t="n"/>
    </row>
    <row r="13">
      <c r="A13" s="2" t="n">
        <v>17</v>
      </c>
      <c r="B13" s="2" t="inlineStr">
        <is>
          <t>B5</t>
        </is>
      </c>
      <c r="C13" s="2" t="inlineStr">
        <is>
          <t>Grp B Rep1</t>
        </is>
      </c>
      <c r="D13" s="2" t="inlineStr">
        <is>
          <t>target</t>
        </is>
      </c>
      <c r="E13" s="2" t="n">
        <v>23.6704</v>
      </c>
      <c r="F13" s="2" t="n">
        <v>87.455</v>
      </c>
      <c r="G13" s="2" t="n">
        <v>0.999754</v>
      </c>
      <c r="H13" s="2" t="n">
        <v>-3.45</v>
      </c>
      <c r="I13" s="2" t="n">
        <v>94.91940296028527</v>
      </c>
      <c r="M13" s="2" t="inlineStr">
        <is>
          <t>Grp B Rep1</t>
        </is>
      </c>
      <c r="N13" s="2" t="inlineStr">
        <is>
          <t>target</t>
        </is>
      </c>
      <c r="O13" s="3" t="inlineStr">
        <is>
          <t>B18</t>
        </is>
      </c>
      <c r="P13" s="3" t="n">
        <v>23.62</v>
      </c>
      <c r="Q13" s="3" t="n">
        <v>22.743</v>
      </c>
      <c r="V13" s="11" t="inlineStr">
        <is>
          <t>Grp B Rep1</t>
        </is>
      </c>
      <c r="W13" s="12" t="n">
        <v>23.6204</v>
      </c>
      <c r="X13" s="26">
        <f>W13*LOG(1+$I$3/100,2)</f>
        <v/>
      </c>
      <c r="Y13" s="27">
        <f>AVERAGE($F$3:$F$4)*2^((AVERAGE($E$3:$E$4)*LOG(1+$I$3/100,2))-X13)</f>
        <v/>
      </c>
      <c r="Z13" s="7" t="n"/>
      <c r="AA13" s="7" t="n"/>
    </row>
    <row r="14">
      <c r="A14" s="2" t="n">
        <v>18</v>
      </c>
      <c r="B14" s="2" t="inlineStr">
        <is>
          <t>B6</t>
        </is>
      </c>
      <c r="C14" s="2" t="inlineStr">
        <is>
          <t>Grp B Rep1</t>
        </is>
      </c>
      <c r="D14" s="2" t="inlineStr">
        <is>
          <t>target</t>
        </is>
      </c>
      <c r="E14" s="2" t="n">
        <v>23.6204</v>
      </c>
      <c r="F14" s="2" t="n">
        <v>90.422</v>
      </c>
      <c r="G14" s="2" t="n">
        <v>0.999754</v>
      </c>
      <c r="H14" s="2" t="n">
        <v>-3.45</v>
      </c>
      <c r="I14" s="2" t="n">
        <v>94.91940296028527</v>
      </c>
      <c r="M14" s="2" t="inlineStr">
        <is>
          <t>Grp C Rep1</t>
        </is>
      </c>
      <c r="N14" s="2" t="inlineStr">
        <is>
          <t>target</t>
        </is>
      </c>
      <c r="O14" s="3" t="inlineStr">
        <is>
          <t>B20</t>
        </is>
      </c>
      <c r="P14" s="3" t="n">
        <v>24.69</v>
      </c>
      <c r="Q14" s="3" t="n">
        <v>23.773</v>
      </c>
      <c r="V14" s="11" t="inlineStr">
        <is>
          <t>Grp C Rep1</t>
        </is>
      </c>
      <c r="W14" s="12" t="n">
        <v>24.6883</v>
      </c>
      <c r="X14" s="26">
        <f>W14*LOG(1+$I$3/100,2)</f>
        <v/>
      </c>
      <c r="Y14" s="27">
        <f>AVERAGE($F$3:$F$4)*2^((AVERAGE($E$3:$E$4)*LOG(1+$I$3/100,2))-X14)</f>
        <v/>
      </c>
      <c r="Z14" s="7" t="n"/>
      <c r="AA14" s="7" t="n"/>
    </row>
    <row r="15">
      <c r="A15" s="2" t="n">
        <v>20</v>
      </c>
      <c r="B15" s="2" t="inlineStr">
        <is>
          <t>B8</t>
        </is>
      </c>
      <c r="C15" s="2" t="inlineStr">
        <is>
          <t>Grp C Rep1</t>
        </is>
      </c>
      <c r="D15" s="2" t="inlineStr">
        <is>
          <t>target</t>
        </is>
      </c>
      <c r="E15" s="2" t="n">
        <v>24.6883</v>
      </c>
      <c r="F15" s="2" t="n">
        <v>44.334</v>
      </c>
      <c r="G15" s="2" t="n">
        <v>0.999754</v>
      </c>
      <c r="H15" s="2" t="n">
        <v>-3.45</v>
      </c>
      <c r="I15" s="2" t="n">
        <v>94.91940296028527</v>
      </c>
      <c r="M15" s="2" t="inlineStr">
        <is>
          <t>Grp C Rep1</t>
        </is>
      </c>
      <c r="N15" s="2" t="inlineStr">
        <is>
          <t>target</t>
        </is>
      </c>
      <c r="O15" s="3" t="inlineStr">
        <is>
          <t>B21</t>
        </is>
      </c>
      <c r="P15" s="3" t="n">
        <v>24.72</v>
      </c>
      <c r="Q15" s="3" t="n">
        <v>23.802</v>
      </c>
      <c r="V15" s="11" t="inlineStr">
        <is>
          <t>Grp C Rep1</t>
        </is>
      </c>
      <c r="W15" s="12" t="n">
        <v>24.7213</v>
      </c>
      <c r="X15" s="26">
        <f>W15*LOG(1+$I$3/100,2)</f>
        <v/>
      </c>
      <c r="Y15" s="27">
        <f>AVERAGE($F$3:$F$4)*2^((AVERAGE($E$3:$E$4)*LOG(1+$I$3/100,2))-X15)</f>
        <v/>
      </c>
      <c r="Z15" s="7" t="n"/>
      <c r="AA15" s="7" t="n"/>
    </row>
    <row r="16">
      <c r="A16" s="2" t="n">
        <v>21</v>
      </c>
      <c r="B16" s="2" t="inlineStr">
        <is>
          <t>B9</t>
        </is>
      </c>
      <c r="C16" s="2" t="inlineStr">
        <is>
          <t>Grp C Rep1</t>
        </is>
      </c>
      <c r="D16" s="2" t="inlineStr">
        <is>
          <t>target</t>
        </is>
      </c>
      <c r="E16" s="2" t="n">
        <v>24.7213</v>
      </c>
      <c r="F16" s="2" t="n">
        <v>43.368</v>
      </c>
      <c r="G16" s="2" t="n">
        <v>0.999754</v>
      </c>
      <c r="H16" s="2" t="n">
        <v>-3.45</v>
      </c>
      <c r="I16" s="2" t="n">
        <v>94.91940296028527</v>
      </c>
      <c r="M16" s="2" t="inlineStr">
        <is>
          <t>Grp A Rep2</t>
        </is>
      </c>
      <c r="N16" s="2" t="inlineStr">
        <is>
          <t>target</t>
        </is>
      </c>
      <c r="O16" s="3" t="inlineStr">
        <is>
          <t>B23</t>
        </is>
      </c>
      <c r="P16" s="3" t="n">
        <v>24.7</v>
      </c>
      <c r="Q16" s="3" t="n">
        <v>23.783</v>
      </c>
      <c r="V16" s="11" t="inlineStr">
        <is>
          <t>Grp A Rep2</t>
        </is>
      </c>
      <c r="W16" s="12" t="n">
        <v>24.7036</v>
      </c>
      <c r="X16" s="26">
        <f>W16*LOG(1+$I$3/100,2)</f>
        <v/>
      </c>
      <c r="Y16" s="27">
        <f>AVERAGE($F$3:$F$4)*2^((AVERAGE($E$3:$E$4)*LOG(1+$I$3/100,2))-X16)</f>
        <v/>
      </c>
      <c r="Z16" s="7" t="n"/>
      <c r="AA16" s="7" t="n"/>
    </row>
    <row r="17">
      <c r="A17" s="2" t="n">
        <v>22</v>
      </c>
      <c r="B17" s="2" t="inlineStr">
        <is>
          <t>B10</t>
        </is>
      </c>
      <c r="C17" s="2" t="inlineStr">
        <is>
          <t>Grp A Rep2</t>
        </is>
      </c>
      <c r="D17" s="2" t="inlineStr">
        <is>
          <t>target</t>
        </is>
      </c>
      <c r="E17" s="2" t="n">
        <v>24.7036</v>
      </c>
      <c r="F17" s="2" t="n">
        <v>43.884</v>
      </c>
      <c r="G17" s="2" t="n">
        <v>0.999754</v>
      </c>
      <c r="H17" s="2" t="n">
        <v>-3.45</v>
      </c>
      <c r="I17" s="2" t="n">
        <v>94.91940296028527</v>
      </c>
      <c r="M17" s="2" t="inlineStr">
        <is>
          <t>Grp A Rep2</t>
        </is>
      </c>
      <c r="N17" s="2" t="inlineStr">
        <is>
          <t>target</t>
        </is>
      </c>
      <c r="O17" s="3" t="inlineStr">
        <is>
          <t>B24</t>
        </is>
      </c>
      <c r="P17" s="3" t="n">
        <v>24.68</v>
      </c>
      <c r="Q17" s="3" t="n">
        <v>23.764</v>
      </c>
      <c r="V17" s="11" t="inlineStr">
        <is>
          <t>Grp A Rep2</t>
        </is>
      </c>
      <c r="W17" s="12" t="n">
        <v>24.6765</v>
      </c>
      <c r="X17" s="26">
        <f>W17*LOG(1+$I$3/100,2)</f>
        <v/>
      </c>
      <c r="Y17" s="27">
        <f>AVERAGE($F$3:$F$4)*2^((AVERAGE($E$3:$E$4)*LOG(1+$I$3/100,2))-X17)</f>
        <v/>
      </c>
      <c r="Z17" s="7" t="n"/>
      <c r="AA17" s="7" t="n"/>
    </row>
    <row r="18">
      <c r="A18" s="2" t="n">
        <v>24</v>
      </c>
      <c r="B18" s="2" t="inlineStr">
        <is>
          <t>B12</t>
        </is>
      </c>
      <c r="C18" s="2" t="inlineStr">
        <is>
          <t>Grp A Rep2</t>
        </is>
      </c>
      <c r="D18" s="2" t="inlineStr">
        <is>
          <t>target</t>
        </is>
      </c>
      <c r="E18" s="2" t="n">
        <v>24.6765</v>
      </c>
      <c r="F18" s="2" t="n">
        <v>44.685</v>
      </c>
      <c r="G18" s="2" t="n">
        <v>0.999754</v>
      </c>
      <c r="H18" s="2" t="n">
        <v>-3.45</v>
      </c>
      <c r="I18" s="2" t="n">
        <v>94.91940296028527</v>
      </c>
      <c r="M18" s="2" t="inlineStr">
        <is>
          <t>Grp B Rep2</t>
        </is>
      </c>
      <c r="N18" s="2" t="inlineStr">
        <is>
          <t>target</t>
        </is>
      </c>
      <c r="O18" s="3" t="inlineStr">
        <is>
          <t>C26</t>
        </is>
      </c>
      <c r="P18" s="3" t="n">
        <v>24.12</v>
      </c>
      <c r="Q18" s="3" t="n">
        <v>23.225</v>
      </c>
      <c r="V18" s="11" t="inlineStr">
        <is>
          <t>Grp B Rep2</t>
        </is>
      </c>
      <c r="W18" s="12" t="n">
        <v>24.1247</v>
      </c>
      <c r="X18" s="26">
        <f>W18*LOG(1+$I$3/100,2)</f>
        <v/>
      </c>
      <c r="Y18" s="27">
        <f>AVERAGE($F$3:$F$4)*2^((AVERAGE($E$3:$E$4)*LOG(1+$I$3/100,2))-X18)</f>
        <v/>
      </c>
      <c r="Z18" s="7" t="n"/>
      <c r="AA18" s="7" t="n"/>
    </row>
    <row r="19">
      <c r="A19" s="2" t="n">
        <v>26</v>
      </c>
      <c r="B19" s="2" t="inlineStr">
        <is>
          <t>C2</t>
        </is>
      </c>
      <c r="C19" s="2" t="inlineStr">
        <is>
          <t>Grp B Rep2</t>
        </is>
      </c>
      <c r="D19" s="2" t="inlineStr">
        <is>
          <t>target</t>
        </is>
      </c>
      <c r="E19" s="2" t="n">
        <v>24.1247</v>
      </c>
      <c r="F19" s="2" t="n">
        <v>64.581</v>
      </c>
      <c r="G19" s="2" t="n">
        <v>0.999754</v>
      </c>
      <c r="H19" s="2" t="n">
        <v>-3.45</v>
      </c>
      <c r="I19" s="2" t="n">
        <v>94.91940296028527</v>
      </c>
      <c r="M19" s="2" t="inlineStr">
        <is>
          <t>Grp B Rep2</t>
        </is>
      </c>
      <c r="N19" s="2" t="inlineStr">
        <is>
          <t>target</t>
        </is>
      </c>
      <c r="O19" s="3" t="inlineStr">
        <is>
          <t>C27</t>
        </is>
      </c>
      <c r="P19" s="3" t="n">
        <v>24.07</v>
      </c>
      <c r="Q19" s="3" t="n">
        <v>23.176</v>
      </c>
      <c r="V19" s="11" t="inlineStr">
        <is>
          <t>Grp B Rep2</t>
        </is>
      </c>
      <c r="W19" s="12" t="n">
        <v>24.0675</v>
      </c>
      <c r="X19" s="26">
        <f>W19*LOG(1+$I$3/100,2)</f>
        <v/>
      </c>
      <c r="Y19" s="27">
        <f>AVERAGE($F$3:$F$4)*2^((AVERAGE($E$3:$E$4)*LOG(1+$I$3/100,2))-X19)</f>
        <v/>
      </c>
      <c r="Z19" s="7" t="n"/>
      <c r="AA19" s="7" t="n"/>
    </row>
    <row r="20">
      <c r="A20" s="2" t="n">
        <v>27</v>
      </c>
      <c r="B20" s="2" t="inlineStr">
        <is>
          <t>C3</t>
        </is>
      </c>
      <c r="C20" s="2" t="inlineStr">
        <is>
          <t>Grp B Rep2</t>
        </is>
      </c>
      <c r="D20" s="2" t="inlineStr">
        <is>
          <t>target</t>
        </is>
      </c>
      <c r="E20" s="2" t="n">
        <v>24.0675</v>
      </c>
      <c r="F20" s="2" t="n">
        <v>67.09399999999999</v>
      </c>
      <c r="G20" s="2" t="n">
        <v>0.999754</v>
      </c>
      <c r="H20" s="2" t="n">
        <v>-3.45</v>
      </c>
      <c r="I20" s="2" t="n">
        <v>94.91940296028527</v>
      </c>
      <c r="M20" s="2" t="inlineStr">
        <is>
          <t>Grp C Rep2</t>
        </is>
      </c>
      <c r="N20" s="2" t="inlineStr">
        <is>
          <t>target</t>
        </is>
      </c>
      <c r="O20" s="3" t="inlineStr">
        <is>
          <t>C28</t>
        </is>
      </c>
      <c r="P20" s="3" t="n">
        <v>24.78</v>
      </c>
      <c r="Q20" s="3" t="n">
        <v>23.86</v>
      </c>
      <c r="V20" s="11" t="inlineStr">
        <is>
          <t>Grp C Rep2</t>
        </is>
      </c>
      <c r="W20" s="12" t="n">
        <v>24.7781</v>
      </c>
      <c r="X20" s="26">
        <f>W20*LOG(1+$I$3/100,2)</f>
        <v/>
      </c>
      <c r="Y20" s="27">
        <f>AVERAGE($F$3:$F$4)*2^((AVERAGE($E$3:$E$4)*LOG(1+$I$3/100,2))-X20)</f>
        <v/>
      </c>
      <c r="Z20" s="7" t="n"/>
      <c r="AA20" s="7" t="n"/>
    </row>
    <row r="21">
      <c r="A21" s="2" t="n">
        <v>28</v>
      </c>
      <c r="B21" s="2" t="inlineStr">
        <is>
          <t>C4</t>
        </is>
      </c>
      <c r="C21" s="2" t="inlineStr">
        <is>
          <t>Grp C Rep2</t>
        </is>
      </c>
      <c r="D21" s="2" t="inlineStr">
        <is>
          <t>target</t>
        </is>
      </c>
      <c r="E21" s="2" t="n">
        <v>24.7781</v>
      </c>
      <c r="F21" s="2" t="n">
        <v>41.755</v>
      </c>
      <c r="G21" s="2" t="n">
        <v>0.999754</v>
      </c>
      <c r="H21" s="2" t="n">
        <v>-3.45</v>
      </c>
      <c r="I21" s="2" t="n">
        <v>94.91940296028527</v>
      </c>
      <c r="M21" s="2" t="inlineStr">
        <is>
          <t>Grp C Rep2</t>
        </is>
      </c>
      <c r="N21" s="2" t="inlineStr">
        <is>
          <t>target</t>
        </is>
      </c>
      <c r="O21" s="3" t="inlineStr">
        <is>
          <t>C30</t>
        </is>
      </c>
      <c r="P21" s="3" t="n">
        <v>24.77</v>
      </c>
      <c r="Q21" s="3" t="n">
        <v>23.85</v>
      </c>
      <c r="V21" s="11" t="inlineStr">
        <is>
          <t>Grp C Rep2</t>
        </is>
      </c>
      <c r="W21" s="12" t="n">
        <v>24.7736</v>
      </c>
      <c r="X21" s="26">
        <f>W21*LOG(1+$I$3/100,2)</f>
        <v/>
      </c>
      <c r="Y21" s="27">
        <f>AVERAGE($F$3:$F$4)*2^((AVERAGE($E$3:$E$4)*LOG(1+$I$3/100,2))-X21)</f>
        <v/>
      </c>
      <c r="Z21" s="7" t="n"/>
      <c r="AA21" s="7" t="n"/>
    </row>
    <row r="22">
      <c r="A22" s="2" t="n">
        <v>30</v>
      </c>
      <c r="B22" s="2" t="inlineStr">
        <is>
          <t>C6</t>
        </is>
      </c>
      <c r="C22" s="2" t="inlineStr">
        <is>
          <t>Grp C Rep2</t>
        </is>
      </c>
      <c r="D22" s="2" t="inlineStr">
        <is>
          <t>target</t>
        </is>
      </c>
      <c r="E22" s="2" t="n">
        <v>24.7736</v>
      </c>
      <c r="F22" s="2" t="n">
        <v>41.881</v>
      </c>
      <c r="G22" s="2" t="n">
        <v>0.999754</v>
      </c>
      <c r="H22" s="2" t="n">
        <v>-3.45</v>
      </c>
      <c r="I22" s="2" t="n">
        <v>94.91940296028527</v>
      </c>
      <c r="M22" s="2" t="inlineStr">
        <is>
          <t>Grp A Rep3</t>
        </is>
      </c>
      <c r="N22" s="2" t="inlineStr">
        <is>
          <t>target</t>
        </is>
      </c>
      <c r="O22" s="3" t="inlineStr">
        <is>
          <t>C31</t>
        </is>
      </c>
      <c r="P22" s="3" t="n">
        <v>24.93</v>
      </c>
      <c r="Q22" s="3" t="n">
        <v>24.005</v>
      </c>
      <c r="V22" s="11" t="inlineStr">
        <is>
          <t>Grp A Rep3</t>
        </is>
      </c>
      <c r="W22" s="12" t="n">
        <v>24.9265</v>
      </c>
      <c r="X22" s="26">
        <f>W22*LOG(1+$I$3/100,2)</f>
        <v/>
      </c>
      <c r="Y22" s="27">
        <f>AVERAGE($F$3:$F$4)*2^((AVERAGE($E$3:$E$4)*LOG(1+$I$3/100,2))-X22)</f>
        <v/>
      </c>
      <c r="Z22" s="7" t="n"/>
      <c r="AA22" s="7" t="n"/>
    </row>
    <row r="23">
      <c r="A23" s="2" t="n">
        <v>31</v>
      </c>
      <c r="B23" s="2" t="inlineStr">
        <is>
          <t>C7</t>
        </is>
      </c>
      <c r="C23" s="2" t="inlineStr">
        <is>
          <t>Grp A Rep3</t>
        </is>
      </c>
      <c r="D23" s="2" t="inlineStr">
        <is>
          <t>target</t>
        </is>
      </c>
      <c r="E23" s="2" t="n">
        <v>24.9265</v>
      </c>
      <c r="F23" s="2" t="n">
        <v>37.818</v>
      </c>
      <c r="G23" s="2" t="n">
        <v>0.999754</v>
      </c>
      <c r="H23" s="2" t="n">
        <v>-3.45</v>
      </c>
      <c r="I23" s="2" t="n">
        <v>94.91940296028527</v>
      </c>
      <c r="M23" s="2" t="inlineStr">
        <is>
          <t>Grp A Rep3</t>
        </is>
      </c>
      <c r="N23" s="2" t="inlineStr">
        <is>
          <t>target</t>
        </is>
      </c>
      <c r="O23" s="3" t="inlineStr">
        <is>
          <t>C33</t>
        </is>
      </c>
      <c r="P23" s="3" t="n">
        <v>24.92</v>
      </c>
      <c r="Q23" s="3" t="n">
        <v>23.995</v>
      </c>
      <c r="V23" s="11" t="inlineStr">
        <is>
          <t>Grp A Rep3</t>
        </is>
      </c>
      <c r="W23" s="12" t="n">
        <v>24.9238</v>
      </c>
      <c r="X23" s="26">
        <f>W23*LOG(1+$I$3/100,2)</f>
        <v/>
      </c>
      <c r="Y23" s="27">
        <f>AVERAGE($F$3:$F$4)*2^((AVERAGE($E$3:$E$4)*LOG(1+$I$3/100,2))-X23)</f>
        <v/>
      </c>
      <c r="Z23" s="7" t="n"/>
      <c r="AA23" s="7" t="n"/>
    </row>
    <row r="24">
      <c r="A24" s="2" t="n">
        <v>33</v>
      </c>
      <c r="B24" s="2" t="inlineStr">
        <is>
          <t>C9</t>
        </is>
      </c>
      <c r="C24" s="2" t="inlineStr">
        <is>
          <t>Grp A Rep3</t>
        </is>
      </c>
      <c r="D24" s="2" t="inlineStr">
        <is>
          <t>target</t>
        </is>
      </c>
      <c r="E24" s="2" t="n">
        <v>24.9238</v>
      </c>
      <c r="F24" s="2" t="n">
        <v>37.886</v>
      </c>
      <c r="G24" s="2" t="n">
        <v>0.999754</v>
      </c>
      <c r="H24" s="2" t="n">
        <v>-3.45</v>
      </c>
      <c r="I24" s="2" t="n">
        <v>94.91940296028527</v>
      </c>
      <c r="M24" s="2" t="inlineStr">
        <is>
          <t>Grp B Rep3</t>
        </is>
      </c>
      <c r="N24" s="2" t="inlineStr">
        <is>
          <t>target</t>
        </is>
      </c>
      <c r="O24" s="3" t="inlineStr">
        <is>
          <t>C34</t>
        </is>
      </c>
      <c r="P24" s="3" t="n">
        <v>24.56</v>
      </c>
      <c r="Q24" s="3" t="n">
        <v>23.648</v>
      </c>
      <c r="V24" s="11" t="inlineStr">
        <is>
          <t>Grp B Rep3</t>
        </is>
      </c>
      <c r="W24" s="12" t="n">
        <v>24.5578</v>
      </c>
      <c r="X24" s="26">
        <f>W24*LOG(1+$I$3/100,2)</f>
        <v/>
      </c>
      <c r="Y24" s="27">
        <f>AVERAGE($F$3:$F$4)*2^((AVERAGE($E$3:$E$4)*LOG(1+$I$3/100,2))-X24)</f>
        <v/>
      </c>
      <c r="Z24" s="7" t="n"/>
      <c r="AA24" s="7" t="n"/>
    </row>
    <row r="25">
      <c r="A25" s="2" t="n">
        <v>34</v>
      </c>
      <c r="B25" s="2" t="inlineStr">
        <is>
          <t>C10</t>
        </is>
      </c>
      <c r="C25" s="2" t="inlineStr">
        <is>
          <t>Grp B Rep3</t>
        </is>
      </c>
      <c r="D25" s="2" t="inlineStr">
        <is>
          <t>target</t>
        </is>
      </c>
      <c r="E25" s="2" t="n">
        <v>24.5578</v>
      </c>
      <c r="F25" s="2" t="n">
        <v>48.369</v>
      </c>
      <c r="G25" s="2" t="n">
        <v>0.999754</v>
      </c>
      <c r="H25" s="2" t="n">
        <v>-3.45</v>
      </c>
      <c r="I25" s="2" t="n">
        <v>94.91940296028527</v>
      </c>
      <c r="M25" s="2" t="inlineStr">
        <is>
          <t>Grp B Rep3</t>
        </is>
      </c>
      <c r="N25" s="2" t="inlineStr">
        <is>
          <t>target</t>
        </is>
      </c>
      <c r="O25" s="3" t="inlineStr">
        <is>
          <t>C35</t>
        </is>
      </c>
      <c r="P25" s="3" t="n">
        <v>24.62</v>
      </c>
      <c r="Q25" s="3" t="n">
        <v>23.706</v>
      </c>
      <c r="V25" s="11" t="inlineStr">
        <is>
          <t>Grp B Rep3</t>
        </is>
      </c>
      <c r="W25" s="12" t="n">
        <v>24.6163</v>
      </c>
      <c r="X25" s="26">
        <f>W25*LOG(1+$I$3/100,2)</f>
        <v/>
      </c>
      <c r="Y25" s="27">
        <f>AVERAGE($F$3:$F$4)*2^((AVERAGE($E$3:$E$4)*LOG(1+$I$3/100,2))-X25)</f>
        <v/>
      </c>
      <c r="Z25" s="7" t="n"/>
      <c r="AA25" s="7" t="n"/>
    </row>
    <row r="26">
      <c r="A26" s="2" t="n">
        <v>35</v>
      </c>
      <c r="B26" s="2" t="inlineStr">
        <is>
          <t>C11</t>
        </is>
      </c>
      <c r="C26" s="2" t="inlineStr">
        <is>
          <t>Grp B Rep3</t>
        </is>
      </c>
      <c r="D26" s="2" t="inlineStr">
        <is>
          <t>target</t>
        </is>
      </c>
      <c r="E26" s="2" t="n">
        <v>24.6163</v>
      </c>
      <c r="F26" s="2" t="n">
        <v>46.517</v>
      </c>
      <c r="G26" s="2" t="n">
        <v>0.999754</v>
      </c>
      <c r="H26" s="2" t="n">
        <v>-3.45</v>
      </c>
      <c r="I26" s="2" t="n">
        <v>94.91940296028527</v>
      </c>
      <c r="M26" s="2" t="inlineStr">
        <is>
          <t>Grp C Rep3</t>
        </is>
      </c>
      <c r="N26" s="2" t="inlineStr">
        <is>
          <t>target</t>
        </is>
      </c>
      <c r="O26" s="3" t="inlineStr">
        <is>
          <t>D1</t>
        </is>
      </c>
      <c r="P26" s="3" t="n">
        <v>23.65</v>
      </c>
      <c r="Q26" s="3" t="n">
        <v>22.772</v>
      </c>
      <c r="V26" s="11" t="inlineStr">
        <is>
          <t>Grp C Rep3</t>
        </is>
      </c>
      <c r="W26" s="12" t="n">
        <v>23.6502</v>
      </c>
      <c r="X26" s="26">
        <f>W26*LOG(1+$I$3/100,2)</f>
        <v/>
      </c>
      <c r="Y26" s="27">
        <f>AVERAGE($F$3:$F$4)*2^((AVERAGE($E$3:$E$4)*LOG(1+$I$3/100,2))-X26)</f>
        <v/>
      </c>
      <c r="Z26" s="7" t="n"/>
      <c r="AA26" s="7" t="n"/>
    </row>
    <row r="27">
      <c r="A27" s="2" t="n">
        <v>37</v>
      </c>
      <c r="B27" s="2" t="inlineStr">
        <is>
          <t>D1</t>
        </is>
      </c>
      <c r="C27" s="2" t="inlineStr">
        <is>
          <t>Grp C Rep3</t>
        </is>
      </c>
      <c r="D27" s="2" t="inlineStr">
        <is>
          <t>target</t>
        </is>
      </c>
      <c r="E27" s="2" t="n">
        <v>23.6502</v>
      </c>
      <c r="F27" s="2" t="n">
        <v>88.642</v>
      </c>
      <c r="G27" s="2" t="n">
        <v>0.999754</v>
      </c>
      <c r="H27" s="2" t="n">
        <v>-3.45</v>
      </c>
      <c r="I27" s="2" t="n">
        <v>94.91940296028527</v>
      </c>
      <c r="M27" s="2" t="inlineStr">
        <is>
          <t>Grp C Rep3</t>
        </is>
      </c>
      <c r="N27" s="2" t="inlineStr">
        <is>
          <t>target</t>
        </is>
      </c>
      <c r="O27" s="3" t="inlineStr">
        <is>
          <t>D3</t>
        </is>
      </c>
      <c r="P27" s="3" t="n">
        <v>23.66</v>
      </c>
      <c r="Q27" s="3" t="n">
        <v>22.782</v>
      </c>
      <c r="V27" s="11" t="inlineStr">
        <is>
          <t>Grp C Rep3</t>
        </is>
      </c>
      <c r="W27" s="12" t="n">
        <v>23.6647</v>
      </c>
      <c r="X27" s="26">
        <f>W27*LOG(1+$I$3/100,2)</f>
        <v/>
      </c>
      <c r="Y27" s="27">
        <f>AVERAGE($F$3:$F$4)*2^((AVERAGE($E$3:$E$4)*LOG(1+$I$3/100,2))-X27)</f>
        <v/>
      </c>
      <c r="Z27" s="7" t="n"/>
      <c r="AA27" s="7" t="n"/>
    </row>
    <row r="28">
      <c r="A28" s="2" t="n">
        <v>39</v>
      </c>
      <c r="B28" s="2" t="inlineStr">
        <is>
          <t>D3</t>
        </is>
      </c>
      <c r="C28" s="2" t="inlineStr">
        <is>
          <t>Grp C Rep3</t>
        </is>
      </c>
      <c r="D28" s="2" t="inlineStr">
        <is>
          <t>target</t>
        </is>
      </c>
      <c r="E28" s="2" t="n">
        <v>23.6647</v>
      </c>
      <c r="F28" s="2" t="n">
        <v>87.788</v>
      </c>
      <c r="G28" s="2" t="n">
        <v>0.999754</v>
      </c>
      <c r="H28" s="2" t="n">
        <v>-3.45</v>
      </c>
      <c r="I28" s="2" t="n">
        <v>94.91940296028527</v>
      </c>
      <c r="M28" s="2" t="inlineStr">
        <is>
          <t>no</t>
        </is>
      </c>
      <c r="N28" s="2" t="inlineStr">
        <is>
          <t>target</t>
        </is>
      </c>
      <c r="O28" s="4" t="n"/>
      <c r="P28" s="4" t="n"/>
      <c r="Q28" s="4" t="n"/>
    </row>
    <row r="29">
      <c r="A29" s="2" t="n">
        <v>40</v>
      </c>
      <c r="B29" s="2" t="inlineStr">
        <is>
          <t>D4</t>
        </is>
      </c>
      <c r="C29" s="2" t="inlineStr">
        <is>
          <t>no</t>
        </is>
      </c>
      <c r="D29" s="2" t="inlineStr">
        <is>
          <t>target</t>
        </is>
      </c>
      <c r="E29" s="2" t="inlineStr">
        <is>
          <t>UNDETERMINED</t>
        </is>
      </c>
      <c r="F29" s="2" t="inlineStr"/>
      <c r="G29" s="2" t="n">
        <v>0.999754</v>
      </c>
      <c r="H29" s="2" t="n">
        <v>-3.45</v>
      </c>
      <c r="I29" s="2" t="n">
        <v>94.91940296028527</v>
      </c>
    </row>
    <row r="30"/>
    <row r="31">
      <c r="AD31" s="28" t="inlineStr">
        <is>
          <t>Target / Reference ratio</t>
        </is>
      </c>
      <c r="AE31" s="29" t="n"/>
      <c r="AF31" s="29" t="n"/>
      <c r="AG31" s="29" t="n"/>
      <c r="AH31" s="29" t="n"/>
      <c r="AI31" s="29" t="n"/>
      <c r="AJ31" s="29" t="n"/>
      <c r="AK31" s="29" t="n"/>
      <c r="AL31" s="29" t="n"/>
      <c r="AM31" s="30" t="n"/>
    </row>
    <row r="32">
      <c r="AD32" s="31" t="inlineStr">
        <is>
          <t>Sample set</t>
        </is>
      </c>
      <c r="AE32" s="29" t="n"/>
      <c r="AF32" s="29" t="n"/>
      <c r="AG32" s="29" t="n"/>
      <c r="AH32" s="29" t="n"/>
      <c r="AI32" s="29" t="n"/>
      <c r="AJ32" s="29" t="n"/>
      <c r="AK32" s="29" t="n"/>
      <c r="AL32" s="29" t="n"/>
      <c r="AM32" s="30" t="n"/>
    </row>
    <row r="33">
      <c r="A33" t="inlineStr">
        <is>
          <t>total</t>
        </is>
      </c>
      <c r="AD33" s="13" t="n"/>
      <c r="AE33" s="14" t="inlineStr">
        <is>
          <t>A Rep1</t>
        </is>
      </c>
      <c r="AF33" s="14" t="inlineStr">
        <is>
          <t>B Rep1</t>
        </is>
      </c>
      <c r="AG33" s="14" t="inlineStr">
        <is>
          <t>C Rep1</t>
        </is>
      </c>
      <c r="AH33" s="14" t="inlineStr">
        <is>
          <t>A Rep2</t>
        </is>
      </c>
      <c r="AI33" s="14" t="inlineStr">
        <is>
          <t>B Rep2</t>
        </is>
      </c>
      <c r="AJ33" s="14" t="inlineStr">
        <is>
          <t>C Rep2</t>
        </is>
      </c>
      <c r="AK33" s="14" t="inlineStr">
        <is>
          <t>A Rep3</t>
        </is>
      </c>
      <c r="AL33" s="14" t="inlineStr">
        <is>
          <t>B Rep3</t>
        </is>
      </c>
      <c r="AM33" s="14" t="inlineStr">
        <is>
          <t>C Rep3</t>
        </is>
      </c>
    </row>
    <row r="34">
      <c r="A34" s="5" t="inlineStr">
        <is>
          <t>Well</t>
        </is>
      </c>
      <c r="B34" s="5" t="inlineStr">
        <is>
          <t>Well Position</t>
        </is>
      </c>
      <c r="C34" s="5" t="inlineStr">
        <is>
          <t>Sample</t>
        </is>
      </c>
      <c r="D34" s="5" t="inlineStr">
        <is>
          <t>Target</t>
        </is>
      </c>
      <c r="E34" s="5" t="inlineStr">
        <is>
          <t>Cq</t>
        </is>
      </c>
      <c r="F34" s="5" t="inlineStr">
        <is>
          <t>Quantity</t>
        </is>
      </c>
      <c r="G34" s="5" t="inlineStr">
        <is>
          <t>Rep2</t>
        </is>
      </c>
      <c r="H34" s="5" t="inlineStr">
        <is>
          <t>Efficiency</t>
        </is>
      </c>
      <c r="AD34" s="25" t="inlineStr">
        <is>
          <t>Target</t>
        </is>
      </c>
      <c r="AE34" s="4">
        <f>Y10</f>
        <v/>
      </c>
      <c r="AF34" s="4">
        <f>Y12</f>
        <v/>
      </c>
      <c r="AG34" s="4">
        <f>Y14</f>
        <v/>
      </c>
      <c r="AH34" s="4">
        <f>Y16</f>
        <v/>
      </c>
      <c r="AI34" s="4">
        <f>Y18</f>
        <v/>
      </c>
      <c r="AJ34" s="4">
        <f>Y20</f>
        <v/>
      </c>
      <c r="AK34" s="4">
        <f>Y22</f>
        <v/>
      </c>
      <c r="AL34" s="4">
        <f>Y24</f>
        <v/>
      </c>
      <c r="AM34" s="4">
        <f>Y26</f>
        <v/>
      </c>
    </row>
    <row r="35">
      <c r="A35" s="4" t="n">
        <v>1</v>
      </c>
      <c r="B35" s="4" t="inlineStr">
        <is>
          <t>A1</t>
        </is>
      </c>
      <c r="C35" s="4" t="inlineStr">
        <is>
          <t>std 100</t>
        </is>
      </c>
      <c r="D35" s="4" t="inlineStr">
        <is>
          <t>reference</t>
        </is>
      </c>
      <c r="E35" s="4" t="n">
        <v>26.4226</v>
      </c>
      <c r="F35" s="4" t="n">
        <v>100</v>
      </c>
      <c r="G35" s="4" t="n">
        <v>0.99996</v>
      </c>
      <c r="H35" s="4" t="n">
        <v>98.8416978008356</v>
      </c>
      <c r="AD35" s="32" t="n"/>
      <c r="AE35" s="4">
        <f>Y11</f>
        <v/>
      </c>
      <c r="AF35" s="4">
        <f>Y13</f>
        <v/>
      </c>
      <c r="AG35" s="4">
        <f>Y15</f>
        <v/>
      </c>
      <c r="AH35" s="4">
        <f>Y17</f>
        <v/>
      </c>
      <c r="AI35" s="4">
        <f>Y19</f>
        <v/>
      </c>
      <c r="AJ35" s="4">
        <f>Y21</f>
        <v/>
      </c>
      <c r="AK35" s="4">
        <f>Y23</f>
        <v/>
      </c>
      <c r="AL35" s="4">
        <f>Y25</f>
        <v/>
      </c>
      <c r="AM35" s="4">
        <f>Y27</f>
        <v/>
      </c>
    </row>
    <row r="36">
      <c r="A36" s="4" t="n">
        <v>2</v>
      </c>
      <c r="B36" s="4" t="inlineStr">
        <is>
          <t>A2</t>
        </is>
      </c>
      <c r="C36" s="4" t="inlineStr">
        <is>
          <t>std 100</t>
        </is>
      </c>
      <c r="D36" s="4" t="inlineStr">
        <is>
          <t>reference</t>
        </is>
      </c>
      <c r="E36" s="4" t="n">
        <v>26.4157</v>
      </c>
      <c r="F36" s="4" t="n">
        <v>100</v>
      </c>
      <c r="G36" s="4" t="n">
        <v>0.99996</v>
      </c>
      <c r="H36" s="4" t="n">
        <v>98.8416978008356</v>
      </c>
      <c r="AD36" s="33" t="n"/>
      <c r="AE36" s="15">
        <f>AVERAGE(AE34:AE35)</f>
        <v/>
      </c>
      <c r="AF36" s="15">
        <f>AVERAGE(AF34:AF35)</f>
        <v/>
      </c>
      <c r="AG36" s="15">
        <f>AVERAGE(AG34:AG35)</f>
        <v/>
      </c>
      <c r="AH36" s="15">
        <f>AVERAGE(AH34:AH35)</f>
        <v/>
      </c>
      <c r="AI36" s="15">
        <f>AVERAGE(AI34:AI35)</f>
        <v/>
      </c>
      <c r="AJ36" s="15">
        <f>AVERAGE(AJ34:AJ35)</f>
        <v/>
      </c>
      <c r="AK36" s="15">
        <f>AVERAGE(AK34:AK35)</f>
        <v/>
      </c>
      <c r="AL36" s="15">
        <f>AVERAGE(AL34:AL35)</f>
        <v/>
      </c>
      <c r="AM36" s="15">
        <f>AVERAGE(AM34:AM35)</f>
        <v/>
      </c>
    </row>
    <row r="37">
      <c r="A37" s="4" t="n">
        <v>4</v>
      </c>
      <c r="B37" s="4" t="inlineStr">
        <is>
          <t>A4</t>
        </is>
      </c>
      <c r="C37" s="4" t="inlineStr">
        <is>
          <t>std 10</t>
        </is>
      </c>
      <c r="D37" s="4" t="inlineStr">
        <is>
          <t>reference</t>
        </is>
      </c>
      <c r="E37" s="4" t="n">
        <v>29.7404</v>
      </c>
      <c r="F37" s="4" t="n">
        <v>10</v>
      </c>
      <c r="G37" s="4" t="n">
        <v>0.99996</v>
      </c>
      <c r="H37" s="4" t="n">
        <v>98.8416978008356</v>
      </c>
      <c r="AD37" s="25" t="inlineStr">
        <is>
          <t>Reference</t>
        </is>
      </c>
      <c r="AE37" s="4">
        <f>P44</f>
        <v/>
      </c>
      <c r="AF37" s="4">
        <f>P46</f>
        <v/>
      </c>
      <c r="AG37" s="4">
        <f>P48</f>
        <v/>
      </c>
      <c r="AH37" s="4">
        <f>P50</f>
        <v/>
      </c>
      <c r="AI37" s="4">
        <f>P52</f>
        <v/>
      </c>
      <c r="AJ37" s="4">
        <f>P54</f>
        <v/>
      </c>
      <c r="AK37" s="4">
        <f>P56</f>
        <v/>
      </c>
      <c r="AL37" s="4">
        <f>P58</f>
        <v/>
      </c>
      <c r="AM37" s="4">
        <f>P60</f>
        <v/>
      </c>
    </row>
    <row r="38">
      <c r="A38" s="4" t="n">
        <v>6</v>
      </c>
      <c r="B38" s="4" t="inlineStr">
        <is>
          <t>A6</t>
        </is>
      </c>
      <c r="C38" s="4" t="inlineStr">
        <is>
          <t>std 10</t>
        </is>
      </c>
      <c r="D38" s="4" t="inlineStr">
        <is>
          <t>reference</t>
        </is>
      </c>
      <c r="E38" s="4" t="n">
        <v>29.722</v>
      </c>
      <c r="F38" s="4" t="n">
        <v>10</v>
      </c>
      <c r="G38" s="4" t="n">
        <v>0.99996</v>
      </c>
      <c r="H38" s="4" t="n">
        <v>98.8416978008356</v>
      </c>
      <c r="AD38" s="32" t="n"/>
      <c r="AE38" s="4">
        <f>P45</f>
        <v/>
      </c>
      <c r="AF38" s="4">
        <f>P47</f>
        <v/>
      </c>
      <c r="AG38" s="4">
        <f>P49</f>
        <v/>
      </c>
      <c r="AH38" s="4">
        <f>P51</f>
        <v/>
      </c>
      <c r="AI38" s="4">
        <f>P53</f>
        <v/>
      </c>
      <c r="AJ38" s="4">
        <f>P55</f>
        <v/>
      </c>
      <c r="AK38" s="4">
        <f>P57</f>
        <v/>
      </c>
      <c r="AL38" s="4">
        <f>P59</f>
        <v/>
      </c>
      <c r="AM38" s="4">
        <f>P61</f>
        <v/>
      </c>
    </row>
    <row r="39">
      <c r="A39" s="4" t="n">
        <v>7</v>
      </c>
      <c r="B39" s="4" t="inlineStr">
        <is>
          <t>A7</t>
        </is>
      </c>
      <c r="C39" s="4" t="inlineStr">
        <is>
          <t>std 1</t>
        </is>
      </c>
      <c r="D39" s="4" t="inlineStr">
        <is>
          <t>reference</t>
        </is>
      </c>
      <c r="E39" s="4" t="n">
        <v>33.1082</v>
      </c>
      <c r="F39" s="4" t="n">
        <v>1</v>
      </c>
      <c r="G39" s="4" t="n">
        <v>0.99996</v>
      </c>
      <c r="H39" s="4" t="n">
        <v>98.8416978008356</v>
      </c>
      <c r="AD39" s="33" t="n"/>
      <c r="AE39" s="15">
        <f>AVERAGE(AE37:AE38)</f>
        <v/>
      </c>
      <c r="AF39" s="15">
        <f>AVERAGE(AF37:AF38)</f>
        <v/>
      </c>
      <c r="AG39" s="15">
        <f>AVERAGE(AG37:AG38)</f>
        <v/>
      </c>
      <c r="AH39" s="15">
        <f>AVERAGE(AH37:AH38)</f>
        <v/>
      </c>
      <c r="AI39" s="15">
        <f>AVERAGE(AI37:AI38)</f>
        <v/>
      </c>
      <c r="AJ39" s="15">
        <f>AVERAGE(AJ37:AJ38)</f>
        <v/>
      </c>
      <c r="AK39" s="15">
        <f>AVERAGE(AK37:AK38)</f>
        <v/>
      </c>
      <c r="AL39" s="15">
        <f>AVERAGE(AL37:AL38)</f>
        <v/>
      </c>
      <c r="AM39" s="15">
        <f>AVERAGE(AM37:AM38)</f>
        <v/>
      </c>
    </row>
    <row r="40">
      <c r="A40" s="4" t="n">
        <v>8</v>
      </c>
      <c r="B40" s="4" t="inlineStr">
        <is>
          <t>A8</t>
        </is>
      </c>
      <c r="C40" s="4" t="inlineStr">
        <is>
          <t>std 1</t>
        </is>
      </c>
      <c r="D40" s="4" t="inlineStr">
        <is>
          <t>reference</t>
        </is>
      </c>
      <c r="E40" s="4" t="n">
        <v>33.1086</v>
      </c>
      <c r="F40" s="4" t="n">
        <v>1</v>
      </c>
      <c r="G40" s="4" t="n">
        <v>0.99996</v>
      </c>
      <c r="H40" s="4" t="n">
        <v>98.8416978008356</v>
      </c>
      <c r="AD40" s="25" t="inlineStr">
        <is>
          <t>Target / Reference</t>
        </is>
      </c>
      <c r="AE40" s="13">
        <f>AE34/AE37</f>
        <v/>
      </c>
      <c r="AF40" s="13">
        <f>AF34/AF37</f>
        <v/>
      </c>
      <c r="AG40" s="13">
        <f>AG34/AG37</f>
        <v/>
      </c>
      <c r="AH40" s="13">
        <f>AH34/AH37</f>
        <v/>
      </c>
      <c r="AI40" s="13">
        <f>AI34/AI37</f>
        <v/>
      </c>
      <c r="AJ40" s="13">
        <f>AJ34/AJ37</f>
        <v/>
      </c>
      <c r="AK40" s="13">
        <f>AK34/AK37</f>
        <v/>
      </c>
      <c r="AL40" s="13">
        <f>AL34/AL37</f>
        <v/>
      </c>
      <c r="AM40" s="13">
        <f>AM34/AM37</f>
        <v/>
      </c>
    </row>
    <row r="41">
      <c r="A41" s="4" t="n">
        <v>11</v>
      </c>
      <c r="B41" s="4" t="inlineStr">
        <is>
          <t>A11</t>
        </is>
      </c>
      <c r="C41" s="4" t="inlineStr">
        <is>
          <t>std 0.1</t>
        </is>
      </c>
      <c r="D41" s="4" t="inlineStr">
        <is>
          <t>reference</t>
        </is>
      </c>
      <c r="E41" s="4" t="inlineStr">
        <is>
          <t>UNDETERMINED</t>
        </is>
      </c>
      <c r="F41" s="4" t="n">
        <v>0.1</v>
      </c>
      <c r="G41" s="4" t="n">
        <v>0.99996</v>
      </c>
      <c r="H41" s="4" t="n">
        <v>98.8416978008356</v>
      </c>
      <c r="AD41" s="32" t="n"/>
      <c r="AE41" s="13">
        <f>AE35/AE38</f>
        <v/>
      </c>
      <c r="AF41" s="13">
        <f>AF35/AF38</f>
        <v/>
      </c>
      <c r="AG41" s="13">
        <f>AG35/AG38</f>
        <v/>
      </c>
      <c r="AH41" s="13">
        <f>AH35/AH38</f>
        <v/>
      </c>
      <c r="AI41" s="13">
        <f>AI35/AI38</f>
        <v/>
      </c>
      <c r="AJ41" s="13">
        <f>AJ35/AJ38</f>
        <v/>
      </c>
      <c r="AK41" s="13">
        <f>AK35/AK38</f>
        <v/>
      </c>
      <c r="AL41" s="13">
        <f>AL35/AL38</f>
        <v/>
      </c>
      <c r="AM41" s="13">
        <f>AM35/AM38</f>
        <v/>
      </c>
    </row>
    <row r="42">
      <c r="A42" s="4" t="n">
        <v>12</v>
      </c>
      <c r="B42" s="4" t="inlineStr">
        <is>
          <t>A12</t>
        </is>
      </c>
      <c r="C42" s="4" t="inlineStr">
        <is>
          <t>std 0.1</t>
        </is>
      </c>
      <c r="D42" s="4" t="inlineStr">
        <is>
          <t>reference</t>
        </is>
      </c>
      <c r="E42" s="4" t="inlineStr">
        <is>
          <t>UNDETERMINED</t>
        </is>
      </c>
      <c r="F42" s="4" t="n">
        <v>0.1</v>
      </c>
      <c r="G42" s="4" t="n">
        <v>0.99996</v>
      </c>
      <c r="H42" s="4" t="n">
        <v>98.8416978008356</v>
      </c>
      <c r="AD42" s="33" t="n"/>
      <c r="AE42" s="16">
        <f>AVERAGE(AE40:AE41)</f>
        <v/>
      </c>
      <c r="AF42" s="16">
        <f>AVERAGE(AF40:AF41)</f>
        <v/>
      </c>
      <c r="AG42" s="16">
        <f>AVERAGE(AG40:AG41)</f>
        <v/>
      </c>
      <c r="AH42" s="16">
        <f>AVERAGE(AH40:AH41)</f>
        <v/>
      </c>
      <c r="AI42" s="16">
        <f>AVERAGE(AI40:AI41)</f>
        <v/>
      </c>
      <c r="AJ42" s="16">
        <f>AVERAGE(AJ40:AJ41)</f>
        <v/>
      </c>
      <c r="AK42" s="16">
        <f>AVERAGE(AK40:AK41)</f>
        <v/>
      </c>
      <c r="AL42" s="16">
        <f>AVERAGE(AL40:AL41)</f>
        <v/>
      </c>
      <c r="AM42" s="16">
        <f>AVERAGE(AM40:AM41)</f>
        <v/>
      </c>
    </row>
    <row r="43">
      <c r="A43" s="4" t="n">
        <v>64</v>
      </c>
      <c r="B43" s="4" t="inlineStr">
        <is>
          <t>F4</t>
        </is>
      </c>
      <c r="C43" s="4" t="inlineStr">
        <is>
          <t>Grp A Rep1</t>
        </is>
      </c>
      <c r="D43" s="4" t="inlineStr">
        <is>
          <t>reference</t>
        </is>
      </c>
      <c r="E43" s="4" t="n">
        <v>26.7591</v>
      </c>
      <c r="F43" s="4" t="n">
        <v>79.163</v>
      </c>
      <c r="G43" s="4" t="n">
        <v>0.99996</v>
      </c>
      <c r="H43" s="4" t="n">
        <v>98.8416978008356</v>
      </c>
      <c r="M43" s="9" t="inlineStr">
        <is>
          <t>Sample</t>
        </is>
      </c>
      <c r="N43" s="10" t="inlineStr">
        <is>
          <t>Replicate Ct</t>
        </is>
      </c>
      <c r="O43" s="10" t="inlineStr">
        <is>
          <t>Ct(100%)</t>
        </is>
      </c>
      <c r="P43" s="10" t="inlineStr">
        <is>
          <t>Quantity</t>
        </is>
      </c>
      <c r="Q43" s="8" t="n"/>
    </row>
    <row r="44">
      <c r="A44" s="4" t="n">
        <v>66</v>
      </c>
      <c r="B44" s="4" t="inlineStr">
        <is>
          <t>F6</t>
        </is>
      </c>
      <c r="C44" s="4" t="inlineStr">
        <is>
          <t>Grp A Rep1</t>
        </is>
      </c>
      <c r="D44" s="4" t="inlineStr">
        <is>
          <t>reference</t>
        </is>
      </c>
      <c r="E44" s="4" t="n">
        <v>26.7698</v>
      </c>
      <c r="F44" s="4" t="n">
        <v>78.583</v>
      </c>
      <c r="G44" s="4" t="n">
        <v>0.99996</v>
      </c>
      <c r="H44" s="4" t="n">
        <v>98.8416978008356</v>
      </c>
      <c r="L44" s="4" t="inlineStr">
        <is>
          <t>reference</t>
        </is>
      </c>
      <c r="M44" s="11" t="inlineStr">
        <is>
          <t>Grp A Rep1</t>
        </is>
      </c>
      <c r="N44" s="12" t="n">
        <v>26.7591</v>
      </c>
      <c r="O44" s="26">
        <f>N44*LOG(1+$H$35/100,2)</f>
        <v/>
      </c>
      <c r="P44" s="27">
        <f>AVERAGE($F$35:$F$36)*2^((AVERAGE($E$35:$E$36)*LOG(1+$H$35/100,2))-O44)</f>
        <v/>
      </c>
      <c r="Q44" s="7" t="n"/>
    </row>
    <row r="45">
      <c r="A45" s="4" t="n">
        <v>68</v>
      </c>
      <c r="B45" s="4" t="inlineStr">
        <is>
          <t>F8</t>
        </is>
      </c>
      <c r="C45" s="4" t="inlineStr">
        <is>
          <t>Grp B Rep1</t>
        </is>
      </c>
      <c r="D45" s="4" t="inlineStr">
        <is>
          <t>reference</t>
        </is>
      </c>
      <c r="E45" s="4" t="n">
        <v>26.3051</v>
      </c>
      <c r="F45" s="4" t="n">
        <v>108.155</v>
      </c>
      <c r="G45" s="4" t="n">
        <v>0.99996</v>
      </c>
      <c r="H45" s="4" t="n">
        <v>98.8416978008356</v>
      </c>
      <c r="L45" s="4" t="inlineStr">
        <is>
          <t>reference</t>
        </is>
      </c>
      <c r="M45" s="11" t="inlineStr">
        <is>
          <t>Grp A Rep1</t>
        </is>
      </c>
      <c r="N45" s="12" t="n">
        <v>26.7698</v>
      </c>
      <c r="O45" s="26">
        <f>N45*LOG(1+$H$35/100,2)</f>
        <v/>
      </c>
      <c r="P45" s="27">
        <f>AVERAGE($F$35:$F$36)*2^((AVERAGE($E$35:$E$36)*LOG(1+$H$35/100,2))-O45)</f>
        <v/>
      </c>
      <c r="Q45" s="7" t="n"/>
    </row>
    <row r="46">
      <c r="A46" s="4" t="n">
        <v>69</v>
      </c>
      <c r="B46" s="4" t="inlineStr">
        <is>
          <t>F9</t>
        </is>
      </c>
      <c r="C46" s="4" t="inlineStr">
        <is>
          <t>Grp B Rep1</t>
        </is>
      </c>
      <c r="D46" s="4" t="inlineStr">
        <is>
          <t>reference</t>
        </is>
      </c>
      <c r="E46" s="4" t="n">
        <v>26.3017</v>
      </c>
      <c r="F46" s="4" t="n">
        <v>108.408</v>
      </c>
      <c r="G46" s="4" t="n">
        <v>0.99996</v>
      </c>
      <c r="H46" s="4" t="n">
        <v>98.8416978008356</v>
      </c>
      <c r="L46" s="4" t="inlineStr">
        <is>
          <t>reference</t>
        </is>
      </c>
      <c r="M46" s="11" t="inlineStr">
        <is>
          <t>Grp B Rep1</t>
        </is>
      </c>
      <c r="N46" s="12" t="n">
        <v>26.3051</v>
      </c>
      <c r="O46" s="26">
        <f>N46*LOG(1+$H$35/100,2)</f>
        <v/>
      </c>
      <c r="P46" s="27">
        <f>AVERAGE($F$35:$F$36)*2^((AVERAGE($E$35:$E$36)*LOG(1+$H$35/100,2))-O46)</f>
        <v/>
      </c>
      <c r="Q46" s="7" t="n"/>
    </row>
    <row r="47">
      <c r="A47" s="4" t="n">
        <v>71</v>
      </c>
      <c r="B47" s="4" t="inlineStr">
        <is>
          <t>F11</t>
        </is>
      </c>
      <c r="C47" s="4" t="inlineStr">
        <is>
          <t>Grp C Rep1</t>
        </is>
      </c>
      <c r="D47" s="4" t="inlineStr">
        <is>
          <t>reference</t>
        </is>
      </c>
      <c r="E47" s="4" t="n">
        <v>25.4001</v>
      </c>
      <c r="F47" s="4" t="n">
        <v>201.462</v>
      </c>
      <c r="G47" s="4" t="n">
        <v>0.99996</v>
      </c>
      <c r="H47" s="4" t="n">
        <v>98.8416978008356</v>
      </c>
      <c r="L47" s="4" t="inlineStr">
        <is>
          <t>reference</t>
        </is>
      </c>
      <c r="M47" s="11" t="inlineStr">
        <is>
          <t>Grp B Rep1</t>
        </is>
      </c>
      <c r="N47" s="12" t="n">
        <v>26.3017</v>
      </c>
      <c r="O47" s="26">
        <f>N47*LOG(1+$H$35/100,2)</f>
        <v/>
      </c>
      <c r="P47" s="27">
        <f>AVERAGE($F$35:$F$36)*2^((AVERAGE($E$35:$E$36)*LOG(1+$H$35/100,2))-O47)</f>
        <v/>
      </c>
      <c r="Q47" s="7" t="n"/>
    </row>
    <row r="48">
      <c r="A48" s="4" t="n">
        <v>72</v>
      </c>
      <c r="B48" s="4" t="inlineStr">
        <is>
          <t>F12</t>
        </is>
      </c>
      <c r="C48" s="4" t="inlineStr">
        <is>
          <t>Grp C Rep1</t>
        </is>
      </c>
      <c r="D48" s="4" t="inlineStr">
        <is>
          <t>reference</t>
        </is>
      </c>
      <c r="E48" s="4" t="n">
        <v>25.4509</v>
      </c>
      <c r="F48" s="4" t="n">
        <v>194.549</v>
      </c>
      <c r="G48" s="4" t="n">
        <v>0.99996</v>
      </c>
      <c r="H48" s="4" t="n">
        <v>98.8416978008356</v>
      </c>
      <c r="L48" s="4" t="inlineStr">
        <is>
          <t>reference</t>
        </is>
      </c>
      <c r="M48" s="11" t="inlineStr">
        <is>
          <t>Grp C Rep1</t>
        </is>
      </c>
      <c r="N48" s="12" t="n">
        <v>25.4001</v>
      </c>
      <c r="O48" s="26">
        <f>N48*LOG(1+$H$35/100,2)</f>
        <v/>
      </c>
      <c r="P48" s="27">
        <f>AVERAGE($F$35:$F$36)*2^((AVERAGE($E$35:$E$36)*LOG(1+$H$35/100,2))-O48)</f>
        <v/>
      </c>
      <c r="Q48" s="7" t="n"/>
      <c r="AD48" t="inlineStr">
        <is>
          <t>sample group</t>
        </is>
      </c>
      <c r="AE48" t="inlineStr">
        <is>
          <t>Rep1</t>
        </is>
      </c>
      <c r="AF48" t="inlineStr">
        <is>
          <t>Rep2</t>
        </is>
      </c>
      <c r="AG48" t="inlineStr">
        <is>
          <t>Rep3</t>
        </is>
      </c>
    </row>
    <row r="49">
      <c r="A49" s="4" t="n">
        <v>74</v>
      </c>
      <c r="B49" s="4" t="inlineStr">
        <is>
          <t>G2</t>
        </is>
      </c>
      <c r="C49" s="4" t="inlineStr">
        <is>
          <t>Grp A Rep2</t>
        </is>
      </c>
      <c r="D49" s="4" t="inlineStr">
        <is>
          <t>reference</t>
        </is>
      </c>
      <c r="E49" s="4" t="n">
        <v>26.5976</v>
      </c>
      <c r="F49" s="4" t="n">
        <v>88.45699999999999</v>
      </c>
      <c r="G49" s="4" t="n">
        <v>0.99996</v>
      </c>
      <c r="H49" s="4" t="n">
        <v>98.8416978008356</v>
      </c>
      <c r="L49" s="4" t="inlineStr">
        <is>
          <t>reference</t>
        </is>
      </c>
      <c r="M49" s="11" t="inlineStr">
        <is>
          <t>Grp C Rep1</t>
        </is>
      </c>
      <c r="N49" s="12" t="n">
        <v>25.4509</v>
      </c>
      <c r="O49" s="26">
        <f>N49*LOG(1+$H$35/100,2)</f>
        <v/>
      </c>
      <c r="P49" s="27">
        <f>AVERAGE($F$35:$F$36)*2^((AVERAGE($E$35:$E$36)*LOG(1+$H$35/100,2))-O49)</f>
        <v/>
      </c>
      <c r="Q49" s="7" t="n"/>
      <c r="AD49" s="17" t="n">
        <v>0.1</v>
      </c>
      <c r="AE49" s="18">
        <f>AE42</f>
        <v/>
      </c>
      <c r="AF49" s="18">
        <f>AH42</f>
        <v/>
      </c>
      <c r="AG49" s="18">
        <f>AK42</f>
        <v/>
      </c>
    </row>
    <row r="50">
      <c r="A50" s="4" t="n">
        <v>75</v>
      </c>
      <c r="B50" s="4" t="inlineStr">
        <is>
          <t>G3</t>
        </is>
      </c>
      <c r="C50" s="4" t="inlineStr">
        <is>
          <t>Grp A Rep2</t>
        </is>
      </c>
      <c r="D50" s="4" t="inlineStr">
        <is>
          <t>reference</t>
        </is>
      </c>
      <c r="E50" s="4" t="n">
        <v>26.5662</v>
      </c>
      <c r="F50" s="4" t="n">
        <v>90.387</v>
      </c>
      <c r="G50" s="4" t="n">
        <v>0.99996</v>
      </c>
      <c r="H50" s="4" t="n">
        <v>98.8416978008356</v>
      </c>
      <c r="L50" s="4" t="inlineStr">
        <is>
          <t>reference</t>
        </is>
      </c>
      <c r="M50" s="11" t="inlineStr">
        <is>
          <t>Grp A Rep2</t>
        </is>
      </c>
      <c r="N50" s="12" t="n">
        <v>26.5976</v>
      </c>
      <c r="O50" s="26">
        <f>N50*LOG(1+$H$35/100,2)</f>
        <v/>
      </c>
      <c r="P50" s="27">
        <f>AVERAGE($F$35:$F$36)*2^((AVERAGE($E$35:$E$36)*LOG(1+$H$35/100,2))-O50)</f>
        <v/>
      </c>
      <c r="Q50" s="7" t="n"/>
      <c r="AD50" s="17" t="n">
        <v>0.5</v>
      </c>
      <c r="AE50" s="18">
        <f>AF42</f>
        <v/>
      </c>
      <c r="AF50" s="18">
        <f>AI42</f>
        <v/>
      </c>
      <c r="AG50" s="18">
        <f>AL42</f>
        <v/>
      </c>
    </row>
    <row r="51">
      <c r="A51" s="4" t="n">
        <v>77</v>
      </c>
      <c r="B51" s="4" t="inlineStr">
        <is>
          <t>G5</t>
        </is>
      </c>
      <c r="C51" s="4" t="inlineStr">
        <is>
          <t>Grp B Rep2</t>
        </is>
      </c>
      <c r="D51" s="4" t="inlineStr">
        <is>
          <t>reference</t>
        </is>
      </c>
      <c r="E51" s="4" t="n">
        <v>26.8333</v>
      </c>
      <c r="F51" s="4" t="n">
        <v>75.227</v>
      </c>
      <c r="G51" s="4" t="n">
        <v>0.99996</v>
      </c>
      <c r="H51" s="4" t="n">
        <v>98.8416978008356</v>
      </c>
      <c r="L51" s="4" t="inlineStr">
        <is>
          <t>reference</t>
        </is>
      </c>
      <c r="M51" s="11" t="inlineStr">
        <is>
          <t>Grp A Rep2</t>
        </is>
      </c>
      <c r="N51" s="12" t="n">
        <v>26.5662</v>
      </c>
      <c r="O51" s="26">
        <f>N51*LOG(1+$H$35/100,2)</f>
        <v/>
      </c>
      <c r="P51" s="27">
        <f>AVERAGE($F$35:$F$36)*2^((AVERAGE($E$35:$E$36)*LOG(1+$H$35/100,2))-O51)</f>
        <v/>
      </c>
      <c r="Q51" s="7" t="n"/>
      <c r="AD51" s="17" t="n">
        <v>1</v>
      </c>
      <c r="AE51" s="18">
        <f>AG42</f>
        <v/>
      </c>
      <c r="AF51" s="18">
        <f>AJ42</f>
        <v/>
      </c>
      <c r="AG51" s="18">
        <f>AM42</f>
        <v/>
      </c>
    </row>
    <row r="52">
      <c r="A52" s="4" t="n">
        <v>78</v>
      </c>
      <c r="B52" s="4" t="inlineStr">
        <is>
          <t>G6</t>
        </is>
      </c>
      <c r="C52" s="4" t="inlineStr">
        <is>
          <t>Grp B Rep2</t>
        </is>
      </c>
      <c r="D52" s="4" t="inlineStr">
        <is>
          <t>reference</t>
        </is>
      </c>
      <c r="E52" s="4" t="n">
        <v>26.8919</v>
      </c>
      <c r="F52" s="4" t="n">
        <v>72.25700000000001</v>
      </c>
      <c r="G52" s="4" t="n">
        <v>0.99996</v>
      </c>
      <c r="H52" s="4" t="n">
        <v>98.8416978008356</v>
      </c>
      <c r="L52" s="4" t="inlineStr">
        <is>
          <t>reference</t>
        </is>
      </c>
      <c r="M52" s="11" t="inlineStr">
        <is>
          <t>Grp B Rep2</t>
        </is>
      </c>
      <c r="N52" s="12" t="n">
        <v>26.8333</v>
      </c>
      <c r="O52" s="26">
        <f>N52*LOG(1+$H$35/100,2)</f>
        <v/>
      </c>
      <c r="P52" s="27">
        <f>AVERAGE($F$35:$F$36)*2^((AVERAGE($E$35:$E$36)*LOG(1+$H$35/100,2))-O52)</f>
        <v/>
      </c>
      <c r="Q52" s="7" t="n"/>
    </row>
    <row r="53">
      <c r="A53" s="4" t="n">
        <v>79</v>
      </c>
      <c r="B53" s="4" t="inlineStr">
        <is>
          <t>G7</t>
        </is>
      </c>
      <c r="C53" s="4" t="inlineStr">
        <is>
          <t>Grp C Rep2</t>
        </is>
      </c>
      <c r="D53" s="4" t="inlineStr">
        <is>
          <t>reference</t>
        </is>
      </c>
      <c r="E53" s="4" t="n">
        <v>25.9202</v>
      </c>
      <c r="F53" s="4" t="n">
        <v>140.91</v>
      </c>
      <c r="G53" s="4" t="n">
        <v>0.99996</v>
      </c>
      <c r="H53" s="4" t="n">
        <v>98.8416978008356</v>
      </c>
      <c r="L53" s="4" t="inlineStr">
        <is>
          <t>reference</t>
        </is>
      </c>
      <c r="M53" s="11" t="inlineStr">
        <is>
          <t>Grp B Rep2</t>
        </is>
      </c>
      <c r="N53" s="12" t="n">
        <v>26.8919</v>
      </c>
      <c r="O53" s="26">
        <f>N53*LOG(1+$H$35/100,2)</f>
        <v/>
      </c>
      <c r="P53" s="27">
        <f>AVERAGE($F$35:$F$36)*2^((AVERAGE($E$35:$E$36)*LOG(1+$H$35/100,2))-O53)</f>
        <v/>
      </c>
      <c r="Q53" s="7" t="n"/>
    </row>
    <row r="54">
      <c r="A54" s="4" t="n">
        <v>81</v>
      </c>
      <c r="B54" s="4" t="inlineStr">
        <is>
          <t>G9</t>
        </is>
      </c>
      <c r="C54" s="4" t="inlineStr">
        <is>
          <t>Grp C Rep2</t>
        </is>
      </c>
      <c r="D54" s="4" t="inlineStr">
        <is>
          <t>reference</t>
        </is>
      </c>
      <c r="E54" s="4" t="n">
        <v>25.9424</v>
      </c>
      <c r="F54" s="4" t="n">
        <v>138.776</v>
      </c>
      <c r="G54" s="4" t="n">
        <v>0.99996</v>
      </c>
      <c r="H54" s="4" t="n">
        <v>98.8416978008356</v>
      </c>
      <c r="L54" s="4" t="inlineStr">
        <is>
          <t>reference</t>
        </is>
      </c>
      <c r="M54" s="11" t="inlineStr">
        <is>
          <t>Grp C Rep2</t>
        </is>
      </c>
      <c r="N54" s="12" t="n">
        <v>25.9202</v>
      </c>
      <c r="O54" s="26">
        <f>N54*LOG(1+$H$35/100,2)</f>
        <v/>
      </c>
      <c r="P54" s="27">
        <f>AVERAGE($F$35:$F$36)*2^((AVERAGE($E$35:$E$36)*LOG(1+$H$35/100,2))-O54)</f>
        <v/>
      </c>
      <c r="Q54" s="7" t="n"/>
    </row>
    <row r="55">
      <c r="A55" s="4" t="n">
        <v>82</v>
      </c>
      <c r="B55" s="4" t="inlineStr">
        <is>
          <t>G10</t>
        </is>
      </c>
      <c r="C55" s="4" t="inlineStr">
        <is>
          <t>Grp A Rep3</t>
        </is>
      </c>
      <c r="D55" s="4" t="inlineStr">
        <is>
          <t>reference</t>
        </is>
      </c>
      <c r="E55" s="4" t="n">
        <v>26.6438</v>
      </c>
      <c r="F55" s="4" t="n">
        <v>85.69199999999999</v>
      </c>
      <c r="G55" s="4" t="n">
        <v>0.99996</v>
      </c>
      <c r="H55" s="4" t="n">
        <v>98.8416978008356</v>
      </c>
      <c r="L55" s="4" t="inlineStr">
        <is>
          <t>reference</t>
        </is>
      </c>
      <c r="M55" s="11" t="inlineStr">
        <is>
          <t>Grp C Rep2</t>
        </is>
      </c>
      <c r="N55" s="12" t="n">
        <v>25.9424</v>
      </c>
      <c r="O55" s="26">
        <f>N55*LOG(1+$H$35/100,2)</f>
        <v/>
      </c>
      <c r="P55" s="27">
        <f>AVERAGE($F$35:$F$36)*2^((AVERAGE($E$35:$E$36)*LOG(1+$H$35/100,2))-O55)</f>
        <v/>
      </c>
      <c r="Q55" s="7" t="n"/>
    </row>
    <row r="56">
      <c r="A56" s="4" t="n">
        <v>84</v>
      </c>
      <c r="B56" s="4" t="inlineStr">
        <is>
          <t>G12</t>
        </is>
      </c>
      <c r="C56" s="4" t="inlineStr">
        <is>
          <t>Grp A Rep3</t>
        </is>
      </c>
      <c r="D56" s="4" t="inlineStr">
        <is>
          <t>reference</t>
        </is>
      </c>
      <c r="E56" s="4" t="n">
        <v>26.6108</v>
      </c>
      <c r="F56" s="4" t="n">
        <v>87.658</v>
      </c>
      <c r="G56" s="4" t="n">
        <v>0.99996</v>
      </c>
      <c r="H56" s="4" t="n">
        <v>98.8416978008356</v>
      </c>
      <c r="L56" s="4" t="inlineStr">
        <is>
          <t>reference</t>
        </is>
      </c>
      <c r="M56" s="11" t="inlineStr">
        <is>
          <t>Grp A Rep3</t>
        </is>
      </c>
      <c r="N56" s="12" t="n">
        <v>26.6438</v>
      </c>
      <c r="O56" s="26">
        <f>N56*LOG(1+$H$35/100,2)</f>
        <v/>
      </c>
      <c r="P56" s="27">
        <f>AVERAGE($F$35:$F$36)*2^((AVERAGE($E$35:$E$36)*LOG(1+$H$35/100,2))-O56)</f>
        <v/>
      </c>
      <c r="Q56" s="7" t="n"/>
    </row>
    <row r="57">
      <c r="A57" s="4" t="n">
        <v>85</v>
      </c>
      <c r="B57" s="4" t="inlineStr">
        <is>
          <t>H1</t>
        </is>
      </c>
      <c r="C57" s="4" t="inlineStr">
        <is>
          <t>Grp B Rep3</t>
        </is>
      </c>
      <c r="D57" s="4" t="inlineStr">
        <is>
          <t>reference</t>
        </is>
      </c>
      <c r="E57" s="4" t="n">
        <v>26.7446</v>
      </c>
      <c r="F57" s="4" t="n">
        <v>79.956</v>
      </c>
      <c r="G57" s="4" t="n">
        <v>0.99996</v>
      </c>
      <c r="H57" s="4" t="n">
        <v>98.8416978008356</v>
      </c>
      <c r="L57" s="4" t="inlineStr">
        <is>
          <t>reference</t>
        </is>
      </c>
      <c r="M57" s="11" t="inlineStr">
        <is>
          <t>Grp A Rep3</t>
        </is>
      </c>
      <c r="N57" s="12" t="n">
        <v>26.6108</v>
      </c>
      <c r="O57" s="26">
        <f>N57*LOG(1+$H$35/100,2)</f>
        <v/>
      </c>
      <c r="P57" s="27">
        <f>AVERAGE($F$35:$F$36)*2^((AVERAGE($E$35:$E$36)*LOG(1+$H$35/100,2))-O57)</f>
        <v/>
      </c>
      <c r="Q57" s="7" t="n"/>
    </row>
    <row r="58">
      <c r="A58" s="4" t="n">
        <v>87</v>
      </c>
      <c r="B58" s="4" t="inlineStr">
        <is>
          <t>H3</t>
        </is>
      </c>
      <c r="C58" s="4" t="inlineStr">
        <is>
          <t>Grp B Rep3</t>
        </is>
      </c>
      <c r="D58" s="4" t="inlineStr">
        <is>
          <t>reference</t>
        </is>
      </c>
      <c r="E58" s="4" t="n">
        <v>26.6773</v>
      </c>
      <c r="F58" s="4" t="n">
        <v>83.741</v>
      </c>
      <c r="G58" s="4" t="n">
        <v>0.99996</v>
      </c>
      <c r="H58" s="4" t="n">
        <v>98.8416978008356</v>
      </c>
      <c r="L58" s="4" t="inlineStr">
        <is>
          <t>reference</t>
        </is>
      </c>
      <c r="M58" s="11" t="inlineStr">
        <is>
          <t>Grp B Rep3</t>
        </is>
      </c>
      <c r="N58" s="12" t="n">
        <v>26.7446</v>
      </c>
      <c r="O58" s="26">
        <f>N58*LOG(1+$H$35/100,2)</f>
        <v/>
      </c>
      <c r="P58" s="27">
        <f>AVERAGE($F$35:$F$36)*2^((AVERAGE($E$35:$E$36)*LOG(1+$H$35/100,2))-O58)</f>
        <v/>
      </c>
      <c r="Q58" s="7" t="n"/>
    </row>
    <row r="59">
      <c r="A59" s="4" t="n">
        <v>88</v>
      </c>
      <c r="B59" s="4" t="inlineStr">
        <is>
          <t>H4</t>
        </is>
      </c>
      <c r="C59" s="4" t="inlineStr">
        <is>
          <t>Grp C Rep3</t>
        </is>
      </c>
      <c r="D59" s="4" t="inlineStr">
        <is>
          <t>reference</t>
        </is>
      </c>
      <c r="E59" s="4" t="n">
        <v>26.0145</v>
      </c>
      <c r="F59" s="4" t="n">
        <v>132.066</v>
      </c>
      <c r="G59" s="4" t="n">
        <v>0.99996</v>
      </c>
      <c r="H59" s="4" t="n">
        <v>98.8416978008356</v>
      </c>
      <c r="L59" s="4" t="inlineStr">
        <is>
          <t>reference</t>
        </is>
      </c>
      <c r="M59" s="11" t="inlineStr">
        <is>
          <t>Grp B Rep3</t>
        </is>
      </c>
      <c r="N59" s="12" t="n">
        <v>26.6773</v>
      </c>
      <c r="O59" s="26">
        <f>N59*LOG(1+$H$35/100,2)</f>
        <v/>
      </c>
      <c r="P59" s="27">
        <f>AVERAGE($F$35:$F$36)*2^((AVERAGE($E$35:$E$36)*LOG(1+$H$35/100,2))-O59)</f>
        <v/>
      </c>
      <c r="Q59" s="7" t="n"/>
    </row>
    <row r="60">
      <c r="A60" s="4" t="n">
        <v>89</v>
      </c>
      <c r="B60" s="4" t="inlineStr">
        <is>
          <t>H5</t>
        </is>
      </c>
      <c r="C60" s="4" t="inlineStr">
        <is>
          <t>Grp C Rep3</t>
        </is>
      </c>
      <c r="D60" s="4" t="inlineStr">
        <is>
          <t>reference</t>
        </is>
      </c>
      <c r="E60" s="4" t="n">
        <v>26.046</v>
      </c>
      <c r="F60" s="4" t="n">
        <v>129.237</v>
      </c>
      <c r="G60" s="4" t="n">
        <v>0.99996</v>
      </c>
      <c r="H60" s="4" t="n">
        <v>98.8416978008356</v>
      </c>
      <c r="L60" s="4" t="inlineStr">
        <is>
          <t>reference</t>
        </is>
      </c>
      <c r="M60" s="11" t="inlineStr">
        <is>
          <t>Grp C Rep3</t>
        </is>
      </c>
      <c r="N60" s="12" t="n">
        <v>26.0145</v>
      </c>
      <c r="O60" s="26">
        <f>N60*LOG(1+$H$35/100,2)</f>
        <v/>
      </c>
      <c r="P60" s="27">
        <f>AVERAGE($F$35:$F$36)*2^((AVERAGE($E$35:$E$36)*LOG(1+$H$35/100,2))-O60)</f>
        <v/>
      </c>
      <c r="Q60" s="7" t="n"/>
    </row>
    <row r="61">
      <c r="L61" s="4" t="inlineStr">
        <is>
          <t>reference</t>
        </is>
      </c>
      <c r="M61" s="11" t="inlineStr">
        <is>
          <t>Grp C Rep3</t>
        </is>
      </c>
      <c r="N61" s="12" t="n">
        <v>26.046</v>
      </c>
      <c r="O61" s="26">
        <f>N61*LOG(1+$H$35/100,2)</f>
        <v/>
      </c>
      <c r="P61" s="27">
        <f>AVERAGE($F$35:$F$36)*2^((AVERAGE($E$35:$E$36)*LOG(1+$H$35/100,2))-O61)</f>
        <v/>
      </c>
      <c r="Q61" s="7" t="n"/>
    </row>
  </sheetData>
  <mergeCells count="5">
    <mergeCell ref="AD37:AD39"/>
    <mergeCell ref="AD32:AM32"/>
    <mergeCell ref="AD40:AD42"/>
    <mergeCell ref="AD31:AM31"/>
    <mergeCell ref="AD34:AD36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2026-07-05T16:22:44Z</dcterms:modified>
</cp:coreProperties>
</file>